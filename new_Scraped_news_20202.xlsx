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L\LLMS\"/>
    </mc:Choice>
  </mc:AlternateContent>
  <xr:revisionPtr revIDLastSave="0" documentId="8_{409FA5E8-4B12-4F29-9886-82D6138135BE}" xr6:coauthVersionLast="47" xr6:coauthVersionMax="47" xr10:uidLastSave="{00000000-0000-0000-0000-000000000000}"/>
  <bookViews>
    <workbookView xWindow="28680" yWindow="-1230" windowWidth="29040" windowHeight="15720" xr2:uid="{00000000-000D-0000-FFFF-FFFF00000000}"/>
  </bookViews>
  <sheets>
    <sheet name="Sheet1" sheetId="1" r:id="rId1"/>
  </sheets>
  <calcPr calcId="191029"/>
</workbook>
</file>

<file path=xl/calcChain.xml><?xml version="1.0" encoding="utf-8"?>
<calcChain xmlns="http://schemas.openxmlformats.org/spreadsheetml/2006/main">
  <c r="B92" i="1" l="1"/>
  <c r="B91" i="1"/>
  <c r="B90" i="1"/>
  <c r="B89" i="1"/>
  <c r="B88" i="1"/>
  <c r="B87" i="1"/>
  <c r="B86" i="1"/>
  <c r="B85" i="1"/>
  <c r="B84" i="1"/>
  <c r="B83" i="1"/>
  <c r="B82" i="1"/>
  <c r="B81" i="1"/>
  <c r="B80" i="1"/>
  <c r="B79" i="1"/>
  <c r="B78" i="1"/>
  <c r="B77" i="1"/>
  <c r="B76" i="1"/>
  <c r="B75" i="1"/>
  <c r="B74" i="1"/>
  <c r="B73" i="1"/>
  <c r="B72" i="1"/>
  <c r="B71" i="1"/>
</calcChain>
</file>

<file path=xl/sharedStrings.xml><?xml version="1.0" encoding="utf-8"?>
<sst xmlns="http://schemas.openxmlformats.org/spreadsheetml/2006/main" count="337" uniqueCount="257">
  <si>
    <t>Date</t>
  </si>
  <si>
    <t>Body</t>
  </si>
  <si>
    <t>URL</t>
  </si>
  <si>
    <t>nytimes.com</t>
  </si>
  <si>
    <t>2020: The Year in Visual Stories and Graphics</t>
  </si>
  <si>
    <t>2020-12-30T21:27:45-05:00</t>
  </si>
  <si>
    <t>In a year with so many world-shaking moments, our strongest visual stories coveredimpeachment,outbreak,caucuses,primaries,donations,dele­gates,shutdown,jobs,deaths,coughing,hos­pitals,test­ing,George Floyd,protests,tear gas,dreams,nursing homes,po­licing,the election,stimulus,symptoms,Beirut,power,the Supreme Court,ballots,wildfires,Trump’s taxes,turn­out,swing states,masks,re­sults,A.I.,voter shifts,I.C.U.s,pollut­ion andvaccines.2020: The Year in Visual Stories and Graphics.
 Produced by Sarah Almukhtar and Rumsey Taylor. Additional work by Josh Williams.</t>
  </si>
  <si>
    <t>https://www.nytimes.com/interactive/2020/12/30/us/2020-year-in-graphics.html</t>
  </si>
  <si>
    <t>2020: The Year in Sports When Everybody Lost</t>
  </si>
  <si>
    <t>2020-12-13T22:05:20-05:00</t>
  </si>
  <si>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</si>
  <si>
    <t>https://www.nytimes.com/interactive/2020/12/13/sports/coronavirus-sports-economy-wisconsin.html</t>
  </si>
  <si>
    <t>Presidential Election Results 2020: Biden Wins</t>
  </si>
  <si>
    <t>2020-11-03T17:56:16.000Z</t>
  </si>
  <si>
    <t>These are past election results. See the latest:
 Disabling auto-updates may improve reliability when using a screen reader or keyboard to navigate.
 Joseph R. Biden Jr. was elected the 46th president of the United States. 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ballots.See which states have certified their results here.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Race calls from The Associated Press. Race ratings from Cook Political Report. Results are unofficial until they are certified by election officials.By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</si>
  <si>
    <r>
      <rPr>
        <u/>
        <sz val="11"/>
        <color rgb="FF1155CC"/>
        <rFont val="Calibri, sans-serif"/>
      </rPr>
      <t>https://www.nytimes.com/interactive/2020/11/03/us/elections/results-president.html</t>
    </r>
  </si>
  <si>
    <t>Florida Election Results</t>
  </si>
  <si>
    <t>2020-11-03T17:00:00.000Z</t>
  </si>
  <si>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</si>
  <si>
    <t>https://www.nytimes.com/interactive/2020/11/03/us/elections/results-florida.html</t>
  </si>
  <si>
    <t>2020 Presidential Election Calendar</t>
  </si>
  <si>
    <t>2019-05-13T09:00:02.000Z</t>
  </si>
  <si>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</si>
  <si>
    <t>https://www.nytimes.com/interactive/2019/us/elections/2020-presidential-election-calendar.html</t>
  </si>
  <si>
    <t>Today’s Paper</t>
  </si>
  <si>
    <t>The U.S. jobless rate for April is put at 14.7 percent, with 20.5 million jobs lost, figures that almost certainly understate the economic devastation.
 ByNelson D. SchwartzBen CasselmanandElla Koeze
 The shooting death of Ahmaud Arbery has renewed criticism of the police agency that released the two suspects. They were charged by the state months later.
 ByRick RojasRichard FaussetandSerge F. Kovaleski
 The Justice Department’s move was the latest example of the attorney general’s effort to chisel away at the special counsel investigation and emphasize an alternate narrative.
 If it is so hard to maintain a healthy environment at 1600 Pennsylvania Avenue, then how can businesses across the country establish a safe space for their workers?
 More than three times as many people may have died from Covid-19 in Mexico City than federal statistics show, according to a Times analysis.
 As shopping centers emptied, shows were canceled and office towers turned dark, millions of people suddenly found themselves without jobs.</t>
  </si>
  <si>
    <t>cnn.com</t>
  </si>
  <si>
    <t>The year America confronted racism</t>
  </si>
  <si>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</si>
  <si>
    <t>2020 has changed everything. And itâs only half over</t>
  </si>
  <si>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</si>
  <si>
    <t>Exclusive: US intelligence spotted Chinese, Iranian deepfakes in 2020 aimed at influencing US voters</t>
  </si>
  <si>
    <t>2024-05-15T08:00:02.945Z</t>
  </si>
  <si>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</si>
  <si>
    <t>https://www.cnn.com/2024/05/15/politics/us-intelligence-china-iran-deepfakes-2020-election</t>
  </si>
  <si>
    <t>2020 was the year of scary bugs, and 2021 will be even worse</t>
  </si>
  <si>
    <t>2020-12-30T14:14:47Z</t>
  </si>
  <si>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</si>
  <si>
    <t>https://www.cnn.com/2020/12/30/us/2021-murder-hornets-cicadas-scary-bugs-trnd/index.html</t>
  </si>
  <si>
    <t>These were CNN’s top 100 digital stories of 2020</t>
  </si>
  <si>
    <t>2020-12-23T12:32:09Z</t>
  </si>
  <si>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</si>
  <si>
    <t>https://www.cnn.com/2020/12/23/us/top-100-digital-stories-2020-trnd</t>
  </si>
  <si>
    <t>2020’s alternative universe is not going away</t>
  </si>
  <si>
    <t>2021-01-03T05:02:23Z</t>
  </si>
  <si>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</si>
  <si>
    <t>https://www.cnn.com/2021/01/03/uk/covid-19-conspiracy-theories-2020-intl-gbr</t>
  </si>
  <si>
    <t>Tax Day is Monday. Here’s everything you need to know about filing your 2020 taxes</t>
  </si>
  <si>
    <t>2021-05-16T15:21:15Z</t>
  </si>
  <si>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</si>
  <si>
    <t>https://www.cnn.com/2021/05/16/success/2020-taxes-deadline-information-feseries</t>
  </si>
  <si>
    <t>The year of reckoning: How 2020 revealed the fault lines in American policing</t>
  </si>
  <si>
    <t>2020-12-18T21:12:29Z</t>
  </si>
  <si>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</si>
  <si>
    <t>https://www.cnn.com/2020/12/18/us/police-reform-year-of-reckoning-blm-invs</t>
  </si>
  <si>
    <t>2020 In Review Fast Facts</t>
  </si>
  <si>
    <t>2020-12-10T21:47:22Z</t>
  </si>
  <si>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</si>
  <si>
    <t>https://www.cnn.com/2020/12/10/us/2020-in-review-fast-facts</t>
  </si>
  <si>
    <t>foxnews.com</t>
  </si>
  <si>
    <t>Trump demands special prosecutor investigate 'stolen' 2020 election, loss to Biden</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</si>
  <si>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U.S. Border Patrol chief Michael Banks joins ‘Fox &amp; Friends’ to discuss stunning data regarding illegal immigration under the leadership of the Trump administration compared to the Biden administration.
 President Donald Trump has called for a special prosecutor to be appointed to investigate the 2020 presidential election, which he has long maintained was rigged against him and in favor of Joe Biden.
 In a fiery Truth Social post Friday, Trump praised his administration for cutting border crossings to zero in May compared to theBiden administration, which oversaw the release of 62,000 migrants into the country during the same time last year.
 Trump said it was incomprehensible a president could oversee such an influx of illegal immigration and then took aim at the 2020 election.
 President Donald Trump June 15, 2025(Tasos Katopodis/Getty Images)
 "Zero Border crossings for the month for TRUMP, verses 60,000 for Sleepy, Crooked Joe Biden, a man who lost the 2020 Presidential Election by a "LANDSLIDE!" Trump wrote.
 "Biden was grossly incompetent and the 2020 election was a total FRAUD! The evidence is MASSIVE and OVERWHELMING. A Special Prosecutor must be appointed."
 Trump has argued for years that a series of alleged misdeeds led to Joe Biden's 2020 victory. In the lead-up to the Jan. 6, 2021, certification of the Electoral College results, several pro-Trump marches were held, culminating in aviolent riot at the U.S. Capitol.
 TWO MEN CONVICTED IN PENNSYLVANIA MAYORAL RACE ELECTION FRAUD CASE HIT WITH HARSHER SENTENCES THAN EXPECTED
 Trump and his supporters failed to convince Vice President Mike Pence to delay the certification by sending the results back to key battleground states’ legislatures to allow for further investigation or the consideration of alternate slates of electors.
 Pence rejected the demands,arguing that the Constitution did not give the vice president authority to decide which electoral votes to count.
 Trump and his allies filed dozens of lawsuits challenging the results in various states. Most lawsuits failed due to what judges determined was a lack of standing or insufficient evidence. Biden secured 306 electoral votes with 81.2 million votes compared to Trump's 232 electoral votes and 74.2 million votes.
 A scene from the Jan. 6, 2021, Capitol riot. Trump has argued for years that a series of alleged misdeeds led to Joe Biden's 2020 victory.(AP Photo/Jose Luis Magana, File)
 RED STATE AG INVESTIGATING MORE THAN 30 POTENTIAL NONCITIZENS WHO VOTED IN 2024 ELECTION
 The president has made a variety of claims to support his assertion that the 2020 election was "stolen."
 Trump has argued that ballot harvesting "mules" deposited ballots at late-night ballot drops after deadlines in key swing states.
 He made the claims central to his 2024 re-election bid, often using the slogan "too big to rig" to urge supporters to turn out in force and overcome what he described as a rigged or unfair system.
 "This cannot be allowed to happen again in the United States of America!"Trump saidin the post Friday.
 "Let the work begin! What this Crooked man, and his CORRUPT CRONIES, have done to our Country in 4 years, is grossly indescribable! MAKE AMERICA GREAT AGAIN!"
 Trump’s attorney general in 2020, Bill Barr, said there no was evidence of fraud that could have affected the outcome, and the Department of Homeland Security’s cybersecurity arm pronounced the election "the most secure in American history."
 A worker at the Fulton County Board of Registration and Elections works to process absentee ballots at State Farm Arena Nov. 2, 2020, in Atlanta.(AP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
 Michael Dorgan is a writer for Fox News Digital and Fox Business.
 You can send tips to michael.dorgan@fox.com and follow him on Twitter @M_Dorgan.
 Get the latest updates from the 2024 campaign trail, exclusive interviews and more Fox News politics content.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</si>
  <si>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US deaths in 2020 top 3 million, by far most ever counted</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</si>
  <si>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</si>
  <si>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2020 in review: Top space stories of the year</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</si>
  <si>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</si>
  <si>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2020 is the 'Year of the Bible' for many Christians</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</si>
  <si>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</si>
  <si>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Fox News</t>
  </si>
  <si>
    <t>Presidential Election Results</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</si>
  <si>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Maine and Nebraska allocate their Electoral Votes using the Congressional District Method. Two votes go to the overall state vote outcome and one vote is allocated to each district.
 Senate seats are up for election once every six years. There are 35 seats up for this year's Senate elections including special elections in Arizona and Georgia. The Democrats need to flip four seats to gain control. The Republicans need to retain at least 21 seats to keep control.
 All 435 House seats are up for election every two years. The Democrats gained control from the 2018 Midterm Elections with 232 seats. The Republicans need to flip 21 seats to gain control.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</si>
  <si>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Everything coming to and leaving Netflix in December 2020</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</si>
  <si>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</si>
  <si>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Voter Analysis | Elections 2020 | Fox News</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</si>
  <si>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The Fox News Voter Analysis, conducted in partnership with the Associated Press, provides a comprehensive look at voting behavior, opinions and preferences as America votes. With more voters than ever voting early or by mail, the new method overcomes the limitations of in-person exit polls and captures the views of all Americans. It is based on surveys of the American electorate conducted by NORC at the University of Chicago with voting results from The Associated Press. For the 2020 General Election, the FNVA results are based on a probability sample of registered voters drawn from state voter files, samples of self-identified registered voters from a probability-based national panel, and samples of self-identified registered voters from opt-in online panels. The FNVA survey of the American electorate was conducted in all 50 states, October 26 to November 3, concluding at the end of voting on Election Day.Full Methodology Statement: November 3, 2020 Presidential Election
 Full Methodology Statement: January 5, 2021 GA Senate Runoff Election
 How to read these tables:The percentages to the right of each answer show the proportion of the electorate in that subgroup. When an answer is expanded by clicking on the +, the candidates' support among that subgroup is revealed. The percentages to the right of each listed candidate show how the particular subgroup of voters divided its vote.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</si>
  <si>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America locked down: 2020's most controversial coronavirus-era restrictions</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</si>
  <si>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</si>
  <si>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people.com</t>
  </si>
  <si>
    <t>Record number of 2020 films were directed by women, study finds</t>
  </si>
  <si>
    <t>2020 was a good year in at least one respect: it set a new high-water mark for women behind the camera in Hollywood.
 A new studyfrom San Diego State University'sCenter for the Study of Women in Television and Filmfound that women comprised 16 percent of directors working on 2020's 100 highest-grossing films. That figure marks a record high, up from 12 percent in 2019 and an abysmal 4 percent in 2018. Women also accounted for 21 percent of all directors, writers, producers, executive producers, editors, and cinematographers on the top 100 films, another historic high overall.
 Some of the most successful and high-profile films of the year, includingBirds of PreyandWonder Woman 1984, were helmed by women (Cathy YanandPatty Jenkins, respectively), and 2020's months-long halt to theatrical exhibition also allowed many smaller films to crack the top 100, such as Autumn de Wilde'sEmmaand Céline Sciamma's French importPortrait of a Lady on Fire.
 Of course, the pandemic scuttled or delayed major theatrical releases for many films that would undoubtedly have done huge business at the box office, includingNiki Caro'sMulan,Cate Shortland'sBlack Widow, andChloé Zhao'sThe Eternals. (Zhao did, however, directcurrent Oscar frontrunnerNomadland.) EvenWonder Womanhad to settle for a $16.7 million domestic opening weekend,a record high for the COVID erabut nowhere close to a typical superhero movie opening.
 Furthermore, while the growth in female directors is undeniable, the numbers still fall far short of gender equity in the industry. Additional data reveals that the majority of 2020 films (67 percent) employed zero to four women in major behind-the-scenes roles, while 71 percent employed 10 or more men. Dr. Martha Lauzen, executive director of the Center for the Study of Women in Television and Film, said in a statement, "This imbalance is stunning."
 “The good news is that we’ve now seen two consecutive years of growth for women who direct,” Lauzen added. “This breaks a recent historical pattern in which the numbers trend up one year and down the next. The bad news is that fully 80% of top films still do not have a woman at the helm.”</t>
  </si>
  <si>
    <t>Billboard Music Awards 2020: See the Complete List of Winners</t>
  </si>
  <si>
    <t>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t>
  </si>
  <si>
    <t>PEOPLE Picks the Top TV Shows of 2020</t>
  </si>
  <si>
    <t>Because we all watched a lot of it this year
 Tom Gliatto reviews the latest TV and movie releases for PEOPLE Magazine. He also writes many of the magazine's celebrity tributes.
 If you're anything like us, you've spent most of the past nine months of quarantine on the couch at night, checking out the latest small-screen hits. And thankfully, there were a lot of them. Despite the production shutdown earlier in the year, Hollywood managed to churn out myriad addictive shows, touching on everything from chess and the royal family to Michael Jordan and yes, a tiger king.
 Here, PEOPLE's 18 favorites series and mini-series of the year, all streaming now. And see more of PEOPLE's best in music, movies and books in this week's issue, on newsstands Friday.
 Chess probably isn't the chief reason this Netflix series about the world's greatest woman player (Emma's Anya Taylor-Joy) became a hit. Across seven beautifully tailored and upholstered episodes, Gambit, based on a book by Walter Tevis, was the year's sterling example of how episodic TV has become the new novel — a relaxing way to occupy the mind for hours and hours, chapter by chapter. (Netflix)
 You can think of this as a miniseries of five separate films — all directed with impressive assurance by Steve McQueen — about London's West Indian community. Standouts: "Mangrove," which culminates in a terrific court scene, and the sensual "Lovers Rock," about a house party. (Amazon)
 This series reimagined the gory fantasies of writer H.P. Lovecraft, an avowed racist, in terms of Black experience. If that sounds like a thesis proposal, the result wasn't. Scary! (HBO)
 Cate Blanchett gave a fascinating performance — immaculately arch — as conservative leader Phyllis Schlafly, a powerful political operator who thought a woman's place was in the home. In the end, that irony stings Mrs. Schlafly badly. (FX onHulu)
 The surprise hit, which grew out of a character Jason Sudeikis created to promote British soccer for NBC sports, gave us the hero we needed in a bleak year. Ted Lasso, an American football coach hired to oversee a soccer team in the U.K., was a chortling, easygoing nice guy — a fish out of water only too willing to get in the swim of things. Isn't he how we used to like to think of ourselves? (Apple TV+)
 How the late Michelle McNamara — who was comedian Patton Oswalt's wife — tracked the notorious Golden State Killer. A classic of the cold-case genre. (HBO)
 Season 4 gave us the wedding of guileless fawn Diana (Emma Corrin) and dunderheadPrince Charles(Josh O'Connor). What the public embraced as happily-ever-after was wretched-from-the-get-go. (Netflix)
 Lockdown's must-see show was the story of one Joe Exotic, owner of an exotic-animal park, and his nemesis, animal-rescue advocate Carole Baskin. She wound up onDancing with the Stars. (Netflix)
 Haunting in its understatement, Normal was about the endlessly evolving, sometimes anguished romance of two young Irish lovers, beautifully played by newcomers Paul Mescal and Daisy Edgar-Jones. (Hulu)
 Michaela Coel, an actress of stunning boldness, also created and wrote this unsettling series about a woman who was drugged and raped. (HBO)
 The HBO docuseries about the $24 million McDonald's Monopoly promotion scam that ran between 1989 and 2001 had unexpected twists at every turn and a charismatic featured interviewee other docuseries could only dream about in FBI agent Doug Mathews, who shares his experience with boundless humor and enthusiasm. (HBO)
 At 10 hours, this documentary about Michael Jordan and the Chicago Bulls is a mammoth project — a real basketballapalooza — but it's thoroughly watchable and highly informative. At the center, of course, is the charismatic Jordan, described as "the ultimate sports alpha male." (Jordan is generally spoken of in the most extravagant terms and never ironically.)Danceis also a fascinating primer on how management operates, how court strategy is developed and how a team is built — and, as its players age out, rebuilt. (Netflix)
 The coming of age series, created by Mindy Kaling, followed an Indian American high school student struggling to cope with the recent death of her father, all narrated by tennis player John McEnroe. The Asian stereotype-busting series is equally hilarious and heartbreaking, buoyed further by Maitreyi Ramakrishnan's star turn. (Netflix)
 Nicole Kidman, as a Manhattan therapist with an unusually large wardrobe of brocaded dresses and coats, suspects her husband (Hugh Grant) of murder. An enjoyably improbable but addictive thriller with a bangup finish. (HBO)
 The famous legal-detection hero, played by Raymond Burr on a hit TV series 50 years ago, gets a reboot in this streamy, sordid L.A. noir set in the 1930s.The Americans'Matthew Rhys, troubled and tousled but tenacious, takes over as Mr. Mason. (HBO)
 EssentiallyBreaking Badin a Missouri vacation setting,Ozarkkeeps getting better and better — sharper, more nail-bitingly brutal. Season 3's climax was a real shocker, and points season 4 in a dangerous new direction. (Netflix)
 An outlandish docuseries, tawdry but true, about how the victims of a con-man Lothario banded together to confront him and bring him to justice. (Showtime)
 An adorable series, very gently broaching serious issues, about a group of enterprising middle school girls. (Netflix)</t>
  </si>
  <si>
    <t>5 Ways the World Changed on March 11, 2020, When COVID-19 Was Declared a Pandemic</t>
  </si>
  <si>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</si>
  <si>
    <t>Everything Coming to Netflix in April 2020, including Mindy Kaling's 'Never Have I Ever'</t>
  </si>
  <si>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</si>
  <si>
    <t>PEOPLE Reveals Its People of the Year: George Clooney, Regina King, Dr. Anthony Fauci &amp; Selena Gomez</t>
  </si>
  <si>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</si>
  <si>
    <t>All the Celebrity Couples Who've Called It Quits in 2020</t>
  </si>
  <si>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</si>
  <si>
    <t>Merriam-Webster Announces 'Pandemic' Is the 2020 Word of the Year</t>
  </si>
  <si>
    <t>Searches for the word began to "tick up consistently" in January and spiked in March
 In a year that saw thecoronaviruslargely upend life as we know it, more and more people turned to the dictionary to help them get a better understanding of the flood of associated words that seemed to accompany every news story.
 It’s little surprise, then, that Merriam-Webster has announced that “pandemic” is its2020 Word of the Year.
 “Sometimes a single word defines an era, and it’s fitting that in this exceptional–and exceptionally difficult—year, a single word came immediately to the fore as we examined the data that determines what our Word of the Year will be,” the publishing company said.
 Merriam-Webster said searches for “pandemic” began to "tick up consistently" on Jan. 20 and started spiking in early February, when the United States’ first coronavirus patient was released from the hospital.
 As the virus worsened, the number of searches continued to grow, with the biggest spike coming on March 11, the day the World Health Organizationofficially declared COVID-19 a pandemic.
 RELATED VIDEO: Merriam-Webster Defined Complicit forIvanka Trump
 On that day, there was an 115,806 percent increase in lookups compared to the same day in 2019.
 “That probably isn’t a big shock,” Peter Sokolowski, editor at large for Merriam-Webster, told theAssociated Press. “Often the big news story has a technical word that’s associated with it and in this case, the word pandemic is not just technical but has become general. It’s probably the word by which we’ll refer to this period in the future.”
 The definition of pandemic is as follows, per Merriam-Webster: an outbreak of a disease that occurs over a wide geographic area (such as multiple countries or continents) and typically affects a significant proportion of the population.
 Its roots are Greek; pan means “all” or “every,” while dēmos means “people.”
 Other words that spiked in 2020 include coronavirus,defund,mamba, kraken, quarantine,antebellum, schadenfreude, asymptomatic, irregardless, icon and malarkey.
 Sokolowski said that the year was also historic in that it was the shortest period of time that Merriam-Webster has ever seen a word go from coinage to entry — COVID-19 was first used in February, and the company had a dictionary definition up 34 days later.
 “Pandemic” followsprevious words of the year including they, justice, feminism and surreal. The title is based on a statistical analysis of words that are searched online in extremely high numbers “while also showing a significant year-over-year increase in traffic.”</t>
  </si>
  <si>
    <t>See Which 2020 Emmy Nominees Turned TV's Biggest Night Into a Family Affair</t>
  </si>
  <si>
    <t>Find out which of Hollywood's cutest couples and proud parents tuned in together for this year's virtual Emmy Awards
 The father-son duoswept up a handful of awards— a bevy for the Levys, if you will — for their roles inSchitt's Creek,with Eugene taking home outstanding lead actor in a comedy series and son Dan winning both outstanding supporting actor as well as writing for a comedy series.
 Union showed off her skills with a rap celebrating Issa Rae'sInsecurein a segment that featured celebrities introducing their favorite shows — before her husband snuck in the frame to hilariously cut her off. "Black girl magic, my girls do they duty /And in the love scenes, they show the boys' booties," she began before adding, "Yeah, I said what I said /The show's mad funny / Issa's tryina' find herself, Molly's got money / They in and out of love, it's oh so cute to see / And did I mention, in the love scenes, they show the boys' booties!"
 TheGilmore Girlscreator and her husband tuned in virtually from theDragonfly Inn, which fans of the series recognized as lead character Lorelai's dream project. The pair were each nominated for outstanding directing in a comedy series for separate episodes ofThe Marvelous Mrs. Maisel, and while neither won in that category, Daniel did take home the award for outstanding music supervision for the episode his wife directed.
 Ruffalo's wife stole the spotlight withher emotional responseto the star being awarded outstanding lead actor in a limited series or movie for his dual role inI Know This Much Is True.
 Bateman's 13-year-old daughter may have missed out on a red carpet with her dad, but with three consecutive nominations for outstanding lead actor in a drama series for his role inOzarkunder his belt, we're betting that she'll have another chance next year.
 TheWolverinestar may not have nabbed the Emmy for outstanding lead actor in a limited series or movie for his role inBad Education, but he did have his beloved wife of 23 years by his side, and that feels like the ultimate prize.
 Fans were delighted to seeAmerican Horror Storystar Paulson beside her partner of five years, cheering on theHollywoodactress, who was nominated for outstanding supporting actress in a limited series/movie for her turn in the 2020 Netflix series.
 Harper, who was up for outstanding supporting actor in a comedy series for his role inThe Good Place, scored his first Emmy nomination this year. There to celebrate the special night alongside him was girlfriend and actress Ali Ahn.
 TheMarvelous Mrs. Maiselstar, who was up for outstanding lead actress in a comedy series, took the virtual dress code to the next level with a coordinated couples pajama setalongside her husband and their adorable pups.
 Zendayamade Emmys historyat 24 as the youngest person to win outstanding lead actress in a drama series for her role inEuphoria. As the star gave her acceptance speech from home, she thanked her family and crew, many of whom were there in person to share the special night with her.
 TheOzarkstar teared up while accepting the award for outstanding supporting actress in a drama series for the second year in a row, thanking her husband of one year at the end of her heartfelt speech. The duo dressed to the nines for the occasion, channeling 1920s-era stars with Garner decked out in pearls and the Foster the People musician in a silk robe.</t>
  </si>
  <si>
    <t>PEOPLE's Top 20 Stories of 2020</t>
  </si>
  <si>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</si>
  <si>
    <t>nypost.com</t>
  </si>
  <si>
    <t>Trump believes 2020 election loss was ‘providential’ so his second term fell on America’s 250th birthday, Monica Crowley tells Pod Force One</t>
  </si>
  <si>
    <t>2025-07-02T10:00:00+00:00</t>
  </si>
  <si>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</si>
  <si>
    <t>https://nypost.com/2025/07/02/us-news/trump-believes-2020-election-loss-was-providential-so-his-second-term-fell-on-americas-250th-birthday/</t>
  </si>
  <si>
    <t>The 20 best movies of 2020 you’ll want to watch before the new year</t>
  </si>
  <si>
    <t>2020-12-16T15:33:24+00:00</t>
  </si>
  <si>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</si>
  <si>
    <t>https://nypost.com/article/best-movies-of-2020/</t>
  </si>
  <si>
    <t>US home prices have soared 47% since 2020</t>
  </si>
  <si>
    <t>2024-05-13T16:02:09+00:00</t>
  </si>
  <si>
    <t>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t>
  </si>
  <si>
    <t>https://nypost.com/2024/05/13/real-estate/us-home-prices-have-soared-47-since-2020/</t>
  </si>
  <si>
    <t>What to know about the hottest TV shows of fall 2020</t>
  </si>
  <si>
    <t>2020-09-10T17:24:05+00:00</t>
  </si>
  <si>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</si>
  <si>
    <t>https://nypost.com/2020/09/10/the-hottest-tv-shows-for-fall-2020/</t>
  </si>
  <si>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</si>
  <si>
    <t>Joe Biden to join packed 2020 Democratic field as favorite</t>
  </si>
  <si>
    <t>2019-04-25T02:03:05+00:00</t>
  </si>
  <si>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</si>
  <si>
    <t>https://nypost.com/2019/04/24/joe-biden-to-join-packed-2020-democratic-field-as-favorite/</t>
  </si>
  <si>
    <t>The 16 Most Anticipated Original Films Coming to Streaming in 2020</t>
  </si>
  <si>
    <t>2020-01-02T15:49:30+00:00</t>
  </si>
  <si>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</si>
  <si>
    <t>https://nypost.com/ss-post/the-16-most-anticipated-original-films-coming-to-streaming-in-2020/</t>
  </si>
  <si>
    <t>Super Bowl 2020 is overtaken by Kobe Bryant sorrow</t>
  </si>
  <si>
    <t>2020-01-28T00:45:49+00:00</t>
  </si>
  <si>
    <t>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t>
  </si>
  <si>
    <t>https://nypost.com/2020/01/27/super-bowl-2020-is-overtaken-by-kobe-bryant-sorrow/</t>
  </si>
  <si>
    <t>Pfizer scientist subpoenaed over claims COVID vax testing was ‘deliberately’ slowed before 2020 election</t>
  </si>
  <si>
    <t>2025-07-01T17:17:17+00:00</t>
  </si>
  <si>
    <t>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t>
  </si>
  <si>
    <t>https://nypost.com/2025/07/01/us-news/pfizer-scientist-subpoenaed-over-claims-covid-vax-testing-was-deliberately-slowed-before-2020-election/</t>
  </si>
  <si>
    <t>usatoday.com</t>
  </si>
  <si>
    <t>20 predictions for 2020: Here's what people said would happen by this year</t>
  </si>
  <si>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</si>
  <si>
    <t>Perspective | So long, 2020. We won't miss you as we step into the New Year full of hope</t>
  </si>
  <si>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</si>
  <si>
    <t>Is Halloween canceled? As parents and attractions gear up to celebrate, CDC stresses caution</t>
  </si>
  <si>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</si>
  <si>
    <t>Good news prevails: 100 positive things that happened in 2020 (so far)</t>
  </si>
  <si>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</si>
  <si>
    <t>These are the 10 best movies of 2020, and here's how you can watch them</t>
  </si>
  <si>
    <t>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t>
  </si>
  <si>
    <t>NBA paused. Tom Hanks' diagnosis. A Trump address. Here's what happened on March 11, 2020.</t>
  </si>
  <si>
    <t>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t>
  </si>
  <si>
    <t>We may not know who the next president is on Tuesday. When were past races called?</t>
  </si>
  <si>
    <t>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t>
  </si>
  <si>
    <t>Thanks to coronavirus, we'll mostly remember 2020 as the year when things didn't happen</t>
  </si>
  <si>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</si>
  <si>
    <t>breitbart.com</t>
  </si>
  <si>
    <t>Pollak: The Unabashed Socialism of the 2020 Democratic Party Primary</t>
  </si>
  <si>
    <t>2020-07-14T00:00:15Z</t>
  </si>
  <si>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</si>
  <si>
    <t>https://www.breitbart.com/2020-election/2020/07/14/red-november-the-unabashed-socialism-of-the-2020-democratic-party-primary/</t>
  </si>
  <si>
    <t>Jonathan Turley: ‘Why on Earth’ Would Someone Oppose Reviewing the 2020 Election?</t>
  </si>
  <si>
    <t>2021-01-04T11:28:54Z</t>
  </si>
  <si>
    <t>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t>
  </si>
  <si>
    <t>https://www.breitbart.com/clips/2021/01/04/jonathan-turley-why-on-earth-would-someone-oppose-reviewing-the-2020-election/</t>
  </si>
  <si>
    <t>GOP Lawmakers Double Down: ‘Media Do Not Get to Determine Who the President Is’</t>
  </si>
  <si>
    <t>2020-11-07T13:35:55Z</t>
  </si>
  <si>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</si>
  <si>
    <t>https://www.breitbart.com/politics/2020/11/07/gop-lawmakers-double-down-media-do-not-get-to-determine-who-the-president-is/</t>
  </si>
  <si>
    <t>***Live Updates*** Day Two: 2020 Election Results</t>
  </si>
  <si>
    <t>2020-11-04T08:21:00Z</t>
  </si>
  <si>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</si>
  <si>
    <t>https://www.breitbart.com/2020-election/2020/11/04/live-updates-day-two-2020-election-results/</t>
  </si>
  <si>
    <t>Scarborough: If You Don’t Accept 2020 Results, ‘Just Get the Hell Out’ of the Country</t>
  </si>
  <si>
    <t>2021-05-21T07:22:25Z</t>
  </si>
  <si>
    <t>MSNBC “Morning Joe” host Joe Scarborough on Friday delivered a long-winded rant directed at Republicans for continuing to not accept the 2020 presidential election results.
 After noting Republicans take exception to people disrespecting the American flag by kneeling for the anthem but not what the flag stands for itself, a screaming Scarborough urged those who still think the election was rigged to “just get the hell out.”
 “If you believe that, I will say to you what many of you said in the 1960s: America, love it or leave it,” Scarborough exclaimed. “If you don’t have respect in American democracy anymore if you don’t respect Madisonian checks and balances if your guy doesn’t win, if that’s the new rules of engagement for this great republic, then just leave our country because you’re unworthy of it.”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 And most importantly, they will fight for what that flag represents while you shame yourself. While you disgrace yourself. While you disgrace our country in the eyes of the world. Yes, this is all on you. Get the facts! Live in the light! Follow the truth! And love this country! And stop this! Or leave. Or leave. If you’re going to believe a reality TV show host’s lies about the American republic, his desecration of American exceptionalism, then just get the hell out. We don’t want you here. That’s all I’ve got to say.”
 Follow Trent Baker on Twitter@MagnifiTrent
 Pleaselet us knowif you're having issues with commenting.</t>
  </si>
  <si>
    <t>https://www.breitbart.com/clips/2021/05/21/scarborough-if-you-dont-accept-2020-results-just-get-the-hell-out-of-the-country/</t>
  </si>
  <si>
    <t>Party’s Over: Trump Orders Purge of ‘Critical Race Theory’ from Federal Agencies</t>
  </si>
  <si>
    <t>2020-09-04T20:53:47Z</t>
  </si>
  <si>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</si>
  <si>
    <t>https://www.breitbart.com/tech/2020/09/04/partys-over-trump-orders-purge-of-critical-race-theory-from-federal-agencies/</t>
  </si>
  <si>
    <t>NYT: Democrats’ ‘Dark Money’ Outspent Republicans’ by 66% in 2020</t>
  </si>
  <si>
    <t>2022-01-30T12:29:57Z</t>
  </si>
  <si>
    <t>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</si>
  <si>
    <t>https://www.breitbart.com/politics/2022/01/30/nyt-democrats-dark-money-outspent-republicans-by-66-in-2020-election/</t>
  </si>
  <si>
    <t>Nina Jankowicz, 2020: Government Should Not Be in ‘Business’ of Policing ‘Disinformation’</t>
  </si>
  <si>
    <t>2022-05-01T21:47:17Z</t>
  </si>
  <si>
    <t>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</si>
  <si>
    <t>https://www.breitbart.com/politics/2022/05/01/nina-jankowicz-2020-government-should-not-be-in-business-of-policing-disinformation/</t>
  </si>
  <si>
    <t>2025-06-12T03:43:05Z</t>
  </si>
  <si>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</si>
  <si>
    <t>https://www.breitbart.com/tag/2020/</t>
  </si>
  <si>
    <t>Poll: 7-in-10 Voters Believe in ‘America First’ Agenda Ahead of 2020 Election</t>
  </si>
  <si>
    <t>2019-10-29T16:42:35Z</t>
  </si>
  <si>
    <t>Ahead of the 2020 presidential election, the overwhelming majority of likely voters say they believe in the doctrine of “America First” when it comes to national public policy, a new poll reveals.
 Apollby Selzer and Company/Grinnell College finds that the vast majority of American adults say they are America First voters, while less than 20 percent identify as socialists.
 Overall, about seven-in-ten — or 70 percent — of likely voters say they are believers in America First — the nationalist-populist doctrine that guides President Trump’s agenda on immigration, trade, healthcare, and foreign policy, among others.
 Meanwhile, only about 19 percent of likely voters said they would describe themselves as socialists, making the term the most unliked label for Americans. Instead, more Americans describe themselves as politically incorrect, feminists, gun enthusiasts, proud Americans, and progressives than they do socialists.
 The poll details how increasingly, Americans identify as believers in America First. For example, in September, about 66 percent of likely voters said they believed in America First. In about one month, the total of likely voters describing themselves as America First believers jumped four percentage points.
 A March survey by Harvard/Harris found similar results when U.S. voters were asked their opinions on specific policy questions and whether they side with Trump’s America First doctrine on the issues, Breitbart Newsreported.
 In that survey, about three-in-four voters favor the nationalist-populist America First doctrine on issues like immigration, trade, and foreign policy. The findings were the latest evidence that the open borders, globalization, and endless wars ideology of former administrations — such as President George W. Bush’s — have little-to-no support with American voters.
 The poll was conducted between October 17 to October 23 and included more than 1,000 U.S. adults over the age of 18-years-old — 806 of which are likely voters. The poll has a margin of error of +/- 3.1 percentage points.
 John Binder is a reporter for Breitbart News. Follow him on Twitter at@JxhnBinder.
 Pleaselet us knowif you're having issues with commenting.</t>
  </si>
  <si>
    <t>https://www.breitbart.com/politics/2019/10/29/poll-7-in-10-voters-believe-in-america-first-agenda-ahead-of-2020-election/</t>
  </si>
  <si>
    <t>dailykos.com</t>
  </si>
  <si>
    <t>WTF! Trump received less votes than 2020 and he still won....?</t>
  </si>
  <si>
    <t>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t>
  </si>
  <si>
    <t>Morning Digest: We've finished calculating the 2020 presidential results for every House district</t>
  </si>
  <si>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</si>
  <si>
    <t>This state wants to brainwash kids about Trump's 2020 election lie</t>
  </si>
  <si>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</si>
  <si>
    <t>2020's Top 10 Countries in the Global EV Revolution</t>
  </si>
  <si>
    <t>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t>
  </si>
  <si>
    <t>Daily Kos Elections 2020 primary calendar</t>
  </si>
  <si>
    <t>Below you’ll find Daily Kos Elections’ calendar of major-party filing deadlines, primaries, and runoffs for the 2020 elections. Note that the dates listed in the first three columns below are for each state’s congressional and state primaries. The last column lists the date for each state’s Democratic presidential primary (or caucus). Dates in bold reflect simultaneous presidential and downballot primaries. Shaded cells reflect dates that have been changed.
 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t>
  </si>
  <si>
    <t>Daily Kos Elections announces publication of 2020 presidential results for new House districts</t>
  </si>
  <si>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</si>
  <si>
    <t>Check out our demographics guide for every 2020 general election candidate for Congress and governor</t>
  </si>
  <si>
    <t>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</si>
  <si>
    <t>You Didn't Hear TFG Called 2020 Attack on US Soldiers "a very nice thing"-?</t>
  </si>
  <si>
    <t>Holy Shit! Just This Week, El Drumpfo Called A 2020 Attack On U.S. Soldiers "A Very Nice Thing."
 El Drumpfo was responding to a reporter's question in Milwaukee just a couple of days ago, and the exchange went like this:
 Reporter:“do you believe that you should have been tougher on Iran after they had launched ballistic missiles in 2020 on US forces in Iraq, leaving more than a hundred US soldiers injured?” . . .
 El Drumpfo:. . . they had to do that, and I thought it was a very nice thing.”
 Let me be clear. The Former President of the United States . . . who is running for re-election RIGHT NOW. . . stated that an Iranian missile attack on American soldiers was: "a very nice thing." In the same rambling, incoherent presser, he ALSO suggested that injuries 100+ U.S. soldiers experienced were mere "headaches."
 This happened in the last 72 hours. So, here's my question . . . why are you hearing this just now, from me?
 The traditional legacy media is so, so, dead - deceased, buried, with its ashes scattered to the far ends of the Earth. Guy wants to be President, but he calls an attack on his own soldiers "a very nice thing." Like, I get it . . . I know we live in crazy times. But how is this NOT news?</t>
  </si>
  <si>
    <t>finance.yahoo.com</t>
  </si>
  <si>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</si>
  <si>
    <t>https://finance.yahoo.com/news/what-happened-in-the-economy-in-2020-180805482.html</t>
  </si>
  <si>
    <t>Amazon Prime Day 2020 Preview Yahoo Finance Video Updated Mon, Oct 12, 2020, 9:06 AM In This Article: AMZN Amazon Prime Day, the two day shopping event, will take place from October 13 through 14. Yahoo Finance’s Julia La Roche weighs in. Terms and Privacy Policy Your Privacy Choices CA Privacy Notice More Info Recommended Stories</t>
  </si>
  <si>
    <t>https://finance.yahoo.com/video/amazon-prime-day-2020-preview-160620149.html</t>
  </si>
  <si>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</si>
  <si>
    <t>https://finance.yahoo.com/news/tech-winners-2020-160023810.html</t>
  </si>
  <si>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</si>
  <si>
    <t>https://finance.yahoo.com/news/the-most-overlooked-business-story-of-2020-174801942.html</t>
  </si>
  <si>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</si>
  <si>
    <t>https://finance.yahoo.com/news/stocks-havent-fallen-this-much-since-2020-their-recovery-could-look-different-this-time-212645541.html</t>
  </si>
  <si>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</si>
  <si>
    <t>https://finance.yahoo.com/quote/2020.HK/</t>
  </si>
  <si>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</si>
  <si>
    <t>https://finance.yahoo.com/quote/2020.OL/</t>
  </si>
  <si>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</si>
  <si>
    <t>https://finance.yahoo.com/quote/2020.SR/</t>
  </si>
  <si>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</si>
  <si>
    <t>https://finance.yahoo.com/news/2020-review-google-130032427.html</t>
  </si>
  <si>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</si>
  <si>
    <t>https://finance.yahoo.com/news/did-2020-print-magazines-120042248.html</t>
  </si>
  <si>
    <t>cnbc.com</t>
  </si>
  <si>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</si>
  <si>
    <t>https://www.cnbc.com/2021/03/19/spacs-break-2020-record-in-just-3-months.html</t>
  </si>
  <si>
    <t>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t>
  </si>
  <si>
    <t>https://www.cnbc.com/2021/01/08/climate-change-2020-one-of-the-hottest-years-on-record-tied-with-2016.html</t>
  </si>
  <si>
    <t>U.S. trade deficit August 2020 Skip Navigation Markets Business Investing Tech Politics Video Watchlist Investing Club PRO Livestream Menu Key Points The U.S. trade deficit rose in August to the highest level in 14 years. The gap between the goods and services the U.S. sells and what it buys abroad widened by 5.9% in August to $67.1 billion, the Commerce Department said. The politically sensitive deficit in the trade of goods with China fell 6.7% to $26.4 billion. Container ships sit parked at the Port of Oakland on September 18, 2020 in Oakland, California. Justin Sullivan | Getty Images The U.S. trade deficit rose in August to the highest level in 14 years. The Commerce Department reported Tuesday that the gap between the goods and services the United States sells and what it buys abroad climbed 5.9% in August to $67.1 billion. The politically sensitive deficit in the trade of goods with China fell 6.7% to $26.4 billion. So far this year, the United States has recorded a trade gap of $421.8 billion, up 5.7% from January-August 2019. Exports rose 2.2% to $171.9 billion, but imports rose more — up 3.2% to $239 billion. President Donald Trump campaigned on a pledge to bring down America&amp;#x27;s persistent trade deficits. He imposed taxes on imports of steel, aluminum and most products from China, among other things; and renegotiated a North American trade pact in an effort to encourage more production in the United States. But the trade deficit won&amp;#x27;t yield easily to changes in trade policy. As the U.S. economy recovers from springtime shutdowns, Americans are buying more imported goods while foreign demand for U.S. products remains weak. And after a strict lockdown in February, China&amp;#x27;s factories got up and running faster than those in most places.</t>
  </si>
  <si>
    <t>https://www.cnbc.com/2020/10/06/us-trade-deficit-august-2020.html</t>
  </si>
  <si>
    <t>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t>
  </si>
  <si>
    <t>https://www.cnbc.com/2025/01/14/us-justice-department-releases-report-on-trump-attempt-to-overturn-2020-election.html</t>
  </si>
  <si>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</si>
  <si>
    <t>https://www.cnbc.com/2020/06/16/meet-the-2020-cnbc-disruptor-50-companies.html</t>
  </si>
  <si>
    <t>Toyota beats Volkswagen to become world&amp;#x27;s No.1 car seller in 2020 Skip Navigation Markets Business Investing Tech Politics Video Watchlist Investing Club PRO Livestream Menu Key Points Toyota overtook Volkswagen in car sales in 2020, regaining position as the world&amp;#x27;s top selling automaker. Toyota said group-wide global sales fell 11.3% in 2020, compared to 15.2% drop at Volkswagen. Auto manufacturers are scrambling to tap growing demand for electric cars. A Toyota Tundra pickup truck is seen at a car dealership in San Jose, California. Yichuan Cao | NurPhoto | Getty Images Japan&amp;#x27;s Toyota overtook Germany&amp;#x27;s Volkswagen in vehicle sales last year, regaining pole position as the world&amp;#x27;s top selling automaker for the first time in five years as the pandemic demand slump hit its German rival harder. Toyota said on Thursday its group-wide global sales fell 11.3% to 9.528 million vehicles in 2020. That compared with a 15.2 percent drop at Volkswagen to 9.305 million vehicles. Automakers have suffered as coronavirus lockdowns have stopped people from visiting car showrooms and forced manufacturing plants to reduce or halt production. Toyota, however, has weathered the pandemic better in part because its home market Japan, and the Asian region in general, have been less affected by the outbreak than Europe and the United States. "Our focus is not on what our ranking may be, but on serving our customers" a Toyota spokeswoman said. As demand for cars rebounds, particularly in China, Toyota, Volkswagen and other manufacturers are scrambling to tap growing demand for electric cars. Toyota said that the ratio of electric vehicle it sold last year grew to 23% of total sales from 20% in 2019.</t>
  </si>
  <si>
    <t>https://www.cnbc.com/2021/01/28/toyota-beats-volkswagen-to-become-worlds-nopoint1-car-seller-in-2020.html</t>
  </si>
  <si>
    <t>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t>
  </si>
  <si>
    <t>https://www.cnbc.com/2021/01/18/china-economy-release-of-fourth-quarter-full-year-2020-gdp.html</t>
  </si>
  <si>
    <t>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t>
  </si>
  <si>
    <t>https://www.cnbc.com/2021/01/01/the-covid-recession-brought-extreme-inequality-in-2020.html</t>
  </si>
  <si>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</si>
  <si>
    <t>https://www.cnbc.com/2021/02/02/amazon-amzn-earnings-q4-2020.html</t>
  </si>
  <si>
    <t>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t>
  </si>
  <si>
    <t>https://www.cnbc.com/2021/03/31/covid-was-third-leading-cause-of-death-in-us-in-2020-behind-heart-disease-and-cancer-cdc-says.html</t>
  </si>
  <si>
    <t>newsweek.com</t>
  </si>
  <si>
    <t>https://www.newsweek.com/50-biggest-stories-about-environment-2020-1557575</t>
  </si>
  <si>
    <t>https://www.newsweek.com/it-cant-get-any-worse-2020-heres-2021-political-wish-list-opinion-1557066</t>
  </si>
  <si>
    <t>https://press.foxnews.com/2020/12/fox-news-media-signs-laura-ingraham-to-new-multi-year-deal</t>
  </si>
  <si>
    <t>Two things dominated the news cycle in 2020: the coronavirus pandemic, and the 2020 presidential election. But these weren't the only noteworthy events of the year. Plenty of other significant things happened, especially in the environment and climate change spheres.
A handful of years ago, some of the world's leading scientists declared 2020 a critical year in the fight against climate change. Back in 2015, this declaration brought nearly 200 countries together to develop the Paris Climate Agreement, a pledge to reduce worldwide greenhouse gas emissions, and keep rising global temperatures in check. While the agreement had been successful in its mission so far, scientists say that it's not enough. More must be done to keep the world from becoming an uninhabitable hellscape, including wide-ranging public policies, checks on corporate emissions, and changes in the way the ordinary person lives.
Year in review: 50 major stories about the environment in 2020
Year in review: 50 major stories about the environment in 2020 | Justin McManus/The Age/Fairfax Media via Getty Images
As climate change becomes a more widely discussed and acknowledged issue in our lives, the reporting on it grows and becomes more comprehensive. There are now hundreds if not thousands of climate-related stories written each year where there used to be only a few. For example, The Guardian alone published 3,000 climate and environment-related articles in 2020. While we love to see such an important issue being given that much space, we know that it can be difficult to keep up with such an immense amount of information. So we did it for you.
Stacker compiled a list of 50 major stories about the environment that were published in 2020, using news archives and government resources. So without further ado, from the Bezos Earth Fund to the derecho that swept the Midwest, here are the biggest news stories about the environment that you may have missed in 2020.
You may also like: States with the most homes at risk of coastal flooding
January 22: Trump repeals the “Waters of the United States” regulation
January 22: Trump repeals the “Waters of the United States” regulation | vagabond54 / Shutterstock
January 22: Trump repeals the "Waters of the United States" regulation
In January, the Trump administration repealed the Obama-era "Waters of the United States" regulation that sought to protect streams, wetlands, and groundwater in an effort to keep the country's water supply clean. The repeal now allows landowners and developers to dump pollutants into waterways and to destroy wetlands in order to complete new construction projects.</t>
  </si>
  <si>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</si>
  <si>
    <t xml:space="preserve">NEW YORK – December 16, 2020 – FOX News Media has signed Laura Ingraham to a new multi-year deal where she will continue as the host of The Ingraham Angle (weekdays, 10-11 PM/ET) on FOX News Channel (FNC), announced Suzanne Scott, CEO of FOX News Media.
In making the announcement, Ms. Scott said, “Laura’s one-of-a-kind expertise and powerful commentary has provided an important voice to millions of Americans as a staple of our primetime lineup and we are thrilled to feature her insightful perspective across our platforms for many years to come.”
Since joining the primetime lineup in October of 2017, The Ingraham Angle’s audience has continued to grow, solidifying Ingraham’s place as the most-watched 10PM/ET host in cable news history — and the most-watched female host in cable history.
“With so many challenges facing Americans, I am more determined than ever to deliver the incisive, pull-no-punches analysis and commentary that our viewers expect and enjoy,” Ingraham said.  “It is a great privilege to host an hour each weeknight on FOX News to address the most important, most timely, and sometimes, the most hilarious moments of the day. Our team takes great pride in the work we do—and has fun doing it!”
Over the past three years, the Ingraham Angle has posted double-digit gains in Total Viewers, the 25-54 demographic and the even younger 18-49 demographic, according to Nielsen Media Research. With Ingraham at the helm, the 10PM/ET hour is experiencing its highest-rated year ever, averaging 3.6 million viewers and 650,000 in the 25-54 demo, resulting in this record-breaking year. Throughout the 2020 election cycle, The Ingraham Angle dominated the cable news landscape not only in the 10PM/ET hour, but also every hour of CNN and MSNBC’s programs across the board, including The Rachel Maddow Show at 9PM/ET.
Over the years, Ingraham has become well-known for a fearless, yet fair, approach to covering politics and the culture — often challenging the conventional thinking of the day. Just as important, she continues to feature the struggles and triumphs of everyday Americans who make the country work.
From her news-making interviews with President Donald Trump and his top cabinet members, to her reporting in Minneapolis after the death of George Floyd, Ingraham Angle viewers were given a birds-eye view of the ever-changing American landscape. She also hosted groundbreaking, emotional town hall events on the increasing violence in Chicago and, most recently in Georgia, on the highly anticipated Senate run-offs.
Additionally, she co-hosts Laura &amp; Raymond on the direct-to-consumer streaming service FOX Nation, where she and co-host Raymond Arroyo dive into the most topical news of the day in their signature satirical style.
Ingraham joined FNC in 2007 as a contributor, providing political analysis and commentary throughout the network’s daytime and primetime programming. Previously, her radio program earned her the spot as the most-listened-to woman in political talk radio on hundreds of stations nationwide. A graduate of Dartmouth College and the University of Virginia School of Law, she served as a litigator and Supreme Court law clerk for Justice Clarence Thomas. She is also a New York Times bestselling author of “Shut Up &amp; Sing,” “Power to the People,” “The Obama Diaries” and “Billionaire at the Barricades.”
FOX News Media operates the FOX News Channel (FNC), FOX Business Network (FBN), FOX News Digital, FOX News Audio, FOX News Books, the direct-to-consumer digital streaming services FOX Nation and FOX News International and the newly announced AVOD service FOX Weather. Currently the number one network in all of cable, FNC has also been the most watched television news channel for more than 18 consecutive years, while FBN currently ranks among the top business channels on cable. Owned by FOX Corporation, FOX News Media reaches 200 million people each month.
</t>
  </si>
  <si>
    <t>Publisher</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</si>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</sst>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11">
    <font>
      <sz val="10"/>
      <color rgb="FF000000"/>
      <name val="Arial"/>
      <scheme val="minor"/>
    </font>
    <font>
      <sz val="11"/>
      <color rgb="FF000000"/>
      <name val="Calibri"/>
    </font>
    <font>
      <u/>
      <sz val="11"/>
      <color rgb="FF000000"/>
      <name val="Calibri"/>
    </font>
    <font>
      <u/>
      <sz val="11"/>
      <color rgb="FF0000FF"/>
      <name val="Calibri"/>
    </font>
    <font>
      <u/>
      <sz val="10"/>
      <color rgb="FF0000FF"/>
      <name val="Arial"/>
    </font>
    <font>
      <u/>
      <sz val="10"/>
      <color rgb="FF0000FF"/>
      <name val="Arial"/>
    </font>
    <font>
      <sz val="10"/>
      <color theme="1"/>
      <name val="Arial"/>
      <scheme val="minor"/>
    </font>
    <font>
      <u/>
      <sz val="11"/>
      <color rgb="FF000000"/>
      <name val="Consolas"/>
    </font>
    <font>
      <sz val="11"/>
      <color rgb="FF000000"/>
      <name val="Consolas"/>
    </font>
    <font>
      <u/>
      <sz val="11"/>
      <color rgb="FF1155CC"/>
      <name val="Calibri, sans-serif"/>
    </font>
    <font>
      <u/>
      <sz val="10"/>
      <color theme="10"/>
      <name val="Arial"/>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9">
    <xf numFmtId="0" fontId="0" fillId="0" borderId="0" xfId="0"/>
    <xf numFmtId="0" fontId="1" fillId="0" borderId="0" xfId="0" applyFont="1" applyAlignment="1">
      <alignment horizontal="left"/>
    </xf>
    <xf numFmtId="0" fontId="1" fillId="0" borderId="0" xfId="0" applyFont="1" applyAlignment="1">
      <alignment horizontal="left" vertical="center"/>
    </xf>
    <xf numFmtId="0" fontId="2" fillId="0" borderId="0" xfId="0" applyFont="1" applyAlignment="1">
      <alignment horizontal="left"/>
    </xf>
    <xf numFmtId="0" fontId="3" fillId="0" borderId="0" xfId="0" applyFont="1" applyAlignment="1">
      <alignment horizontal="left"/>
    </xf>
    <xf numFmtId="0" fontId="1" fillId="0" borderId="0" xfId="0" applyFont="1"/>
    <xf numFmtId="0" fontId="4" fillId="0" borderId="0" xfId="0" applyFont="1"/>
    <xf numFmtId="0" fontId="5" fillId="0" borderId="0" xfId="0" applyFont="1"/>
    <xf numFmtId="0" fontId="6" fillId="0" borderId="0" xfId="0" applyFont="1" applyAlignment="1">
      <alignment vertical="center"/>
    </xf>
    <xf numFmtId="0" fontId="7" fillId="2" borderId="0" xfId="0" applyFont="1" applyFill="1"/>
    <xf numFmtId="0" fontId="6" fillId="0" borderId="0" xfId="0" applyFont="1" applyAlignment="1">
      <alignment vertical="center" wrapText="1"/>
    </xf>
    <xf numFmtId="0" fontId="6" fillId="0" borderId="0" xfId="0" applyFont="1" applyAlignment="1">
      <alignment wrapText="1"/>
    </xf>
    <xf numFmtId="0" fontId="6" fillId="0" borderId="0" xfId="0" applyFont="1"/>
    <xf numFmtId="0" fontId="8" fillId="2" borderId="0" xfId="0" applyFont="1" applyFill="1"/>
    <xf numFmtId="0" fontId="10" fillId="0" borderId="0" xfId="1" applyAlignment="1">
      <alignment horizontal="left"/>
    </xf>
    <xf numFmtId="0" fontId="1" fillId="0" borderId="0" xfId="0" applyFont="1" applyAlignment="1">
      <alignment horizontal="left" vertical="center" wrapText="1"/>
    </xf>
    <xf numFmtId="0" fontId="1" fillId="0" borderId="0" xfId="0" applyFont="1" applyAlignment="1">
      <alignment horizontal="left"/>
    </xf>
    <xf numFmtId="0" fontId="0" fillId="0" borderId="0" xfId="0"/>
    <xf numFmtId="164" fontId="1" fillId="0" borderId="0" xfId="0" applyNumberFormat="1"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people.com/music/billboard-music-awards-2020-winners-list/" TargetMode="External"/><Relationship Id="rId21" Type="http://schemas.openxmlformats.org/officeDocument/2006/relationships/hyperlink" Target="http://foxnews.com/" TargetMode="External"/><Relationship Id="rId42" Type="http://schemas.openxmlformats.org/officeDocument/2006/relationships/hyperlink" Target="http://nypost.com/" TargetMode="External"/><Relationship Id="rId63" Type="http://schemas.openxmlformats.org/officeDocument/2006/relationships/hyperlink" Target="http://dailykos.com/" TargetMode="External"/><Relationship Id="rId84" Type="http://schemas.openxmlformats.org/officeDocument/2006/relationships/hyperlink" Target="http://cnbc.com/" TargetMode="External"/><Relationship Id="rId138" Type="http://schemas.openxmlformats.org/officeDocument/2006/relationships/hyperlink" Target="https://www.usatoday.com/story/life/2020/07/29/100-good-things-from-2020-positive-stories-news/3257222001/" TargetMode="External"/><Relationship Id="rId159" Type="http://schemas.openxmlformats.org/officeDocument/2006/relationships/hyperlink" Target="https://www.dailykos.com/stories/2020/1/8/1910007/-Check-out-our-demographics-guide-for-every-2020-general-election-candidate-for-Congress-and-governor" TargetMode="External"/><Relationship Id="rId170" Type="http://schemas.openxmlformats.org/officeDocument/2006/relationships/hyperlink" Target="https://finance.yahoo.com/news/did-2020-print-magazines-120042248.html" TargetMode="External"/><Relationship Id="rId107" Type="http://schemas.openxmlformats.org/officeDocument/2006/relationships/hyperlink" Target="https://www.foxnews.com/politics/trump-demands-special-prosecutor-investigate-massive-2020-election-fraud-evidence" TargetMode="External"/><Relationship Id="rId11" Type="http://schemas.openxmlformats.org/officeDocument/2006/relationships/hyperlink" Target="http://cnn.com/" TargetMode="External"/><Relationship Id="rId32" Type="http://schemas.openxmlformats.org/officeDocument/2006/relationships/hyperlink" Target="http://people.com/" TargetMode="External"/><Relationship Id="rId53" Type="http://schemas.openxmlformats.org/officeDocument/2006/relationships/hyperlink" Target="http://breitbart.com/" TargetMode="External"/><Relationship Id="rId74" Type="http://schemas.openxmlformats.org/officeDocument/2006/relationships/hyperlink" Target="http://finance.yahoo.com/" TargetMode="External"/><Relationship Id="rId128" Type="http://schemas.openxmlformats.org/officeDocument/2006/relationships/hyperlink" Target="https://nypost.com/2024/05/13/real-estate/us-home-prices-have-soared-47-since-2020/" TargetMode="External"/><Relationship Id="rId149" Type="http://schemas.openxmlformats.org/officeDocument/2006/relationships/hyperlink" Target="https://www.breitbart.com/politics/2022/01/30/nyt-democrats-dark-money-outspent-republicans-by-66-in-2020-election/" TargetMode="External"/><Relationship Id="rId5" Type="http://schemas.openxmlformats.org/officeDocument/2006/relationships/hyperlink" Target="http://nytimes.com/" TargetMode="External"/><Relationship Id="rId95" Type="http://schemas.openxmlformats.org/officeDocument/2006/relationships/hyperlink" Target="https://www.nytimes.com/interactive/2020/11/03/us/elections/results-florida.html" TargetMode="External"/><Relationship Id="rId160" Type="http://schemas.openxmlformats.org/officeDocument/2006/relationships/hyperlink" Target="https://www.dailykos.com/stories/2024/10/3/2274479/-You-Didn-t-Hear-TFG-Called-2020-Attack-on-US-Soldiers-a-very-nice-thing" TargetMode="External"/><Relationship Id="rId181" Type="http://schemas.openxmlformats.org/officeDocument/2006/relationships/hyperlink" Target="https://www.newsweek.com/50-biggest-stories-about-environment-2020-1557575" TargetMode="External"/><Relationship Id="rId22" Type="http://schemas.openxmlformats.org/officeDocument/2006/relationships/hyperlink" Target="http://foxnews.com/" TargetMode="External"/><Relationship Id="rId43" Type="http://schemas.openxmlformats.org/officeDocument/2006/relationships/hyperlink" Target="http://nypost.com/" TargetMode="External"/><Relationship Id="rId64" Type="http://schemas.openxmlformats.org/officeDocument/2006/relationships/hyperlink" Target="http://dailykos.com/" TargetMode="External"/><Relationship Id="rId118" Type="http://schemas.openxmlformats.org/officeDocument/2006/relationships/hyperlink" Target="https://people.com/tv/top-tv-shows-of-2020/" TargetMode="External"/><Relationship Id="rId139" Type="http://schemas.openxmlformats.org/officeDocument/2006/relationships/hyperlink" Target="https://www.usatoday.com/story/entertainment/movies/2020/12/23/best-movies-2020-watch-now/3863308001/" TargetMode="External"/><Relationship Id="rId85" Type="http://schemas.openxmlformats.org/officeDocument/2006/relationships/hyperlink" Target="http://cnbc.com/" TargetMode="External"/><Relationship Id="rId150" Type="http://schemas.openxmlformats.org/officeDocument/2006/relationships/hyperlink" Target="https://www.breitbart.com/politics/2022/05/01/nina-jankowicz-2020-government-should-not-be-in-business-of-policing-disinformation/" TargetMode="External"/><Relationship Id="rId171" Type="http://schemas.openxmlformats.org/officeDocument/2006/relationships/hyperlink" Target="https://www.cnbc.com/2021/03/19/spacs-break-2020-record-in-just-3-months.html" TargetMode="External"/><Relationship Id="rId12" Type="http://schemas.openxmlformats.org/officeDocument/2006/relationships/hyperlink" Target="http://cnn.com/" TargetMode="External"/><Relationship Id="rId33" Type="http://schemas.openxmlformats.org/officeDocument/2006/relationships/hyperlink" Target="http://people.com/" TargetMode="External"/><Relationship Id="rId108" Type="http://schemas.openxmlformats.org/officeDocument/2006/relationships/hyperlink" Target="https://www.foxnews.com/health/us-deaths-in-2020-top-3-million-by-far-most-ever-counted" TargetMode="External"/><Relationship Id="rId129" Type="http://schemas.openxmlformats.org/officeDocument/2006/relationships/hyperlink" Target="https://nypost.com/2020/09/10/the-hottest-tv-shows-for-fall-2020/" TargetMode="External"/><Relationship Id="rId54" Type="http://schemas.openxmlformats.org/officeDocument/2006/relationships/hyperlink" Target="http://breitbart.com/" TargetMode="External"/><Relationship Id="rId75" Type="http://schemas.openxmlformats.org/officeDocument/2006/relationships/hyperlink" Target="http://finance.yahoo.com/" TargetMode="External"/><Relationship Id="rId96" Type="http://schemas.openxmlformats.org/officeDocument/2006/relationships/hyperlink" Target="https://www.nytimes.com/interactive/2019/us/elections/2020-presidential-election-calendar.html" TargetMode="External"/><Relationship Id="rId140" Type="http://schemas.openxmlformats.org/officeDocument/2006/relationships/hyperlink" Target="https://www.usatoday.com/story/news/nation/2025/03/11/covid-march-11-2020-news-events/82227555007/" TargetMode="External"/><Relationship Id="rId161" Type="http://schemas.openxmlformats.org/officeDocument/2006/relationships/hyperlink" Target="https://finance.yahoo.com/news/what-happened-in-the-economy-in-2020-180805482.html" TargetMode="External"/><Relationship Id="rId182" Type="http://schemas.openxmlformats.org/officeDocument/2006/relationships/hyperlink" Target="https://www.newsweek.com/it-cant-get-any-worse-2020-heres-2021-political-wish-list-opinion-1557066" TargetMode="External"/><Relationship Id="rId6" Type="http://schemas.openxmlformats.org/officeDocument/2006/relationships/hyperlink" Target="http://nytimes.com/" TargetMode="External"/><Relationship Id="rId23" Type="http://schemas.openxmlformats.org/officeDocument/2006/relationships/hyperlink" Target="http://foxnews.com/" TargetMode="External"/><Relationship Id="rId119" Type="http://schemas.openxmlformats.org/officeDocument/2006/relationships/hyperlink" Target="https://people.com/health/5-ways-the-world-changed-on-march-11-2020-covid-19-pandemic/" TargetMode="External"/><Relationship Id="rId44" Type="http://schemas.openxmlformats.org/officeDocument/2006/relationships/hyperlink" Target="http://usatoday.com/" TargetMode="External"/><Relationship Id="rId60" Type="http://schemas.openxmlformats.org/officeDocument/2006/relationships/hyperlink" Target="http://breitbart.com/" TargetMode="External"/><Relationship Id="rId65" Type="http://schemas.openxmlformats.org/officeDocument/2006/relationships/hyperlink" Target="http://dailykos.com/" TargetMode="External"/><Relationship Id="rId81" Type="http://schemas.openxmlformats.org/officeDocument/2006/relationships/hyperlink" Target="http://cnbc.com/" TargetMode="External"/><Relationship Id="rId86" Type="http://schemas.openxmlformats.org/officeDocument/2006/relationships/hyperlink" Target="http://cnbc.com/" TargetMode="External"/><Relationship Id="rId130" Type="http://schemas.openxmlformats.org/officeDocument/2006/relationships/hyperlink" Target="https://nypost.com/2020/12/01/" TargetMode="External"/><Relationship Id="rId135" Type="http://schemas.openxmlformats.org/officeDocument/2006/relationships/hyperlink" Target="https://www.usatoday.com/story/news/nation/2019/12/22/2020-predictions-decades-ago-self-driving-cars-mars-voting/2594825001/" TargetMode="External"/><Relationship Id="rId151" Type="http://schemas.openxmlformats.org/officeDocument/2006/relationships/hyperlink" Target="https://www.breitbart.com/tag/2020/" TargetMode="External"/><Relationship Id="rId156" Type="http://schemas.openxmlformats.org/officeDocument/2006/relationships/hyperlink" Target="https://www.dailykos.com/stories/2021/3/21/2022085/-2020-s-Top-10-Countries-in-the-Global-EV-Revolution" TargetMode="External"/><Relationship Id="rId177" Type="http://schemas.openxmlformats.org/officeDocument/2006/relationships/hyperlink" Target="https://www.cnbc.com/2021/01/18/china-economy-release-of-fourth-quarter-full-year-2020-gdp.html" TargetMode="External"/><Relationship Id="rId172" Type="http://schemas.openxmlformats.org/officeDocument/2006/relationships/hyperlink" Target="https://www.cnbc.com/2021/01/08/climate-change-2020-one-of-the-hottest-years-on-record-tied-with-2016.html" TargetMode="External"/><Relationship Id="rId13" Type="http://schemas.openxmlformats.org/officeDocument/2006/relationships/hyperlink" Target="http://cnn.com/" TargetMode="External"/><Relationship Id="rId18" Type="http://schemas.openxmlformats.org/officeDocument/2006/relationships/hyperlink" Target="http://foxnews.com/" TargetMode="External"/><Relationship Id="rId39" Type="http://schemas.openxmlformats.org/officeDocument/2006/relationships/hyperlink" Target="http://nypost.com/" TargetMode="External"/><Relationship Id="rId109" Type="http://schemas.openxmlformats.org/officeDocument/2006/relationships/hyperlink" Target="https://www.foxnews.com/science/2020-top-space-stories" TargetMode="External"/><Relationship Id="rId34" Type="http://schemas.openxmlformats.org/officeDocument/2006/relationships/hyperlink" Target="http://people.com/" TargetMode="External"/><Relationship Id="rId50" Type="http://schemas.openxmlformats.org/officeDocument/2006/relationships/hyperlink" Target="http://usatoday.com/" TargetMode="External"/><Relationship Id="rId55" Type="http://schemas.openxmlformats.org/officeDocument/2006/relationships/hyperlink" Target="http://breitbart.com/" TargetMode="External"/><Relationship Id="rId76" Type="http://schemas.openxmlformats.org/officeDocument/2006/relationships/hyperlink" Target="http://finance.yahoo.com/" TargetMode="External"/><Relationship Id="rId97" Type="http://schemas.openxmlformats.org/officeDocument/2006/relationships/hyperlink" Target="https://www.nytimes.com/issue/todayspaper/2020/05/09/todays-new-york-times" TargetMode="External"/><Relationship Id="rId104" Type="http://schemas.openxmlformats.org/officeDocument/2006/relationships/hyperlink" Target="https://www.cnn.com/2021/05/16/success/2020-taxes-deadline-information-feseries" TargetMode="External"/><Relationship Id="rId120" Type="http://schemas.openxmlformats.org/officeDocument/2006/relationships/hyperlink" Target="https://people.com/tv/everything-coming-netflix-april-2020/" TargetMode="External"/><Relationship Id="rId125" Type="http://schemas.openxmlformats.org/officeDocument/2006/relationships/hyperlink" Target="https://people.com/celebrity/top-20-stories-of-2020-people/" TargetMode="External"/><Relationship Id="rId141" Type="http://schemas.openxmlformats.org/officeDocument/2006/relationships/hyperlink" Target="https://www.usatoday.com/story/news/politics/elections/2024/11/05/how-long-did-the-2020-election-last/76081315007/" TargetMode="External"/><Relationship Id="rId146" Type="http://schemas.openxmlformats.org/officeDocument/2006/relationships/hyperlink" Target="https://www.breitbart.com/2020-election/2020/11/04/live-updates-day-two-2020-election-results/" TargetMode="External"/><Relationship Id="rId167" Type="http://schemas.openxmlformats.org/officeDocument/2006/relationships/hyperlink" Target="https://finance.yahoo.com/quote/2020.OL/" TargetMode="External"/><Relationship Id="rId7" Type="http://schemas.openxmlformats.org/officeDocument/2006/relationships/hyperlink" Target="http://cnn.com/" TargetMode="External"/><Relationship Id="rId71" Type="http://schemas.openxmlformats.org/officeDocument/2006/relationships/hyperlink" Target="http://finance.yahoo.com/" TargetMode="External"/><Relationship Id="rId92" Type="http://schemas.openxmlformats.org/officeDocument/2006/relationships/hyperlink" Target="https://www.nytimes.com/interactive/2020/12/30/us/2020-year-in-graphics.html" TargetMode="External"/><Relationship Id="rId162" Type="http://schemas.openxmlformats.org/officeDocument/2006/relationships/hyperlink" Target="https://finance.yahoo.com/video/amazon-prime-day-2020-preview-160620149.html" TargetMode="External"/><Relationship Id="rId2" Type="http://schemas.openxmlformats.org/officeDocument/2006/relationships/hyperlink" Target="http://nytimes.com/" TargetMode="External"/><Relationship Id="rId29" Type="http://schemas.openxmlformats.org/officeDocument/2006/relationships/hyperlink" Target="http://people.com/" TargetMode="External"/><Relationship Id="rId24" Type="http://schemas.openxmlformats.org/officeDocument/2006/relationships/hyperlink" Target="http://foxnews.com/" TargetMode="External"/><Relationship Id="rId40" Type="http://schemas.openxmlformats.org/officeDocument/2006/relationships/hyperlink" Target="http://nypost.com/" TargetMode="External"/><Relationship Id="rId45" Type="http://schemas.openxmlformats.org/officeDocument/2006/relationships/hyperlink" Target="http://usatoday.com/" TargetMode="External"/><Relationship Id="rId66" Type="http://schemas.openxmlformats.org/officeDocument/2006/relationships/hyperlink" Target="http://dailykos.com/" TargetMode="External"/><Relationship Id="rId87" Type="http://schemas.openxmlformats.org/officeDocument/2006/relationships/hyperlink" Target="http://cnbc.com/" TargetMode="External"/><Relationship Id="rId110" Type="http://schemas.openxmlformats.org/officeDocument/2006/relationships/hyperlink" Target="https://www.foxnews.com/us/2020-bible-year-christian" TargetMode="External"/><Relationship Id="rId115" Type="http://schemas.openxmlformats.org/officeDocument/2006/relationships/hyperlink" Target="https://www.foxnews.com/us/america-locked-down-2020s-most-controversial-covid-era-restrictions" TargetMode="External"/><Relationship Id="rId131" Type="http://schemas.openxmlformats.org/officeDocument/2006/relationships/hyperlink" Target="https://nypost.com/2019/04/24/joe-biden-to-join-packed-2020-democratic-field-as-favorite/" TargetMode="External"/><Relationship Id="rId136" Type="http://schemas.openxmlformats.org/officeDocument/2006/relationships/hyperlink" Target="https://ftw.usatoday.com/story/opinion/columns/2020/12/29/remembering-2020-covid-heartbreak-defined-year-but-2021-brings-hope/4053997001/" TargetMode="External"/><Relationship Id="rId157" Type="http://schemas.openxmlformats.org/officeDocument/2006/relationships/hyperlink" Target="https://www.dailykos.com/stories/2020/1/14/1855760/-Daily-Kos-Elections-2020-primary-calendar" TargetMode="External"/><Relationship Id="rId178" Type="http://schemas.openxmlformats.org/officeDocument/2006/relationships/hyperlink" Target="https://www.cnbc.com/2021/01/01/the-covid-recession-brought-extreme-inequality-in-2020.html" TargetMode="External"/><Relationship Id="rId61" Type="http://schemas.openxmlformats.org/officeDocument/2006/relationships/hyperlink" Target="http://breitbart.com/" TargetMode="External"/><Relationship Id="rId82" Type="http://schemas.openxmlformats.org/officeDocument/2006/relationships/hyperlink" Target="http://cnbc.com/" TargetMode="External"/><Relationship Id="rId152" Type="http://schemas.openxmlformats.org/officeDocument/2006/relationships/hyperlink" Target="https://www.breitbart.com/politics/2019/10/29/poll-7-in-10-voters-believe-in-america-first-agenda-ahead-of-2020-election/" TargetMode="External"/><Relationship Id="rId173" Type="http://schemas.openxmlformats.org/officeDocument/2006/relationships/hyperlink" Target="https://www.cnbc.com/2020/10/06/us-trade-deficit-august-2020.html" TargetMode="External"/><Relationship Id="rId19" Type="http://schemas.openxmlformats.org/officeDocument/2006/relationships/hyperlink" Target="http://foxnews.com/" TargetMode="External"/><Relationship Id="rId14" Type="http://schemas.openxmlformats.org/officeDocument/2006/relationships/hyperlink" Target="http://cnn.com/" TargetMode="External"/><Relationship Id="rId30" Type="http://schemas.openxmlformats.org/officeDocument/2006/relationships/hyperlink" Target="http://people.com/" TargetMode="External"/><Relationship Id="rId35" Type="http://schemas.openxmlformats.org/officeDocument/2006/relationships/hyperlink" Target="http://nypost.com/" TargetMode="External"/><Relationship Id="rId56" Type="http://schemas.openxmlformats.org/officeDocument/2006/relationships/hyperlink" Target="http://breitbart.com/" TargetMode="External"/><Relationship Id="rId77" Type="http://schemas.openxmlformats.org/officeDocument/2006/relationships/hyperlink" Target="http://finance.yahoo.com/" TargetMode="External"/><Relationship Id="rId100" Type="http://schemas.openxmlformats.org/officeDocument/2006/relationships/hyperlink" Target="https://www.cnn.com/2024/05/15/politics/us-intelligence-china-iran-deepfakes-2020-election" TargetMode="External"/><Relationship Id="rId105" Type="http://schemas.openxmlformats.org/officeDocument/2006/relationships/hyperlink" Target="https://www.cnn.com/2020/12/18/us/police-reform-year-of-reckoning-blm-invs" TargetMode="External"/><Relationship Id="rId126" Type="http://schemas.openxmlformats.org/officeDocument/2006/relationships/hyperlink" Target="https://nypost.com/2025/07/02/us-news/trump-believes-2020-election-loss-was-providential-so-his-second-term-fell-on-americas-250th-birthday/" TargetMode="External"/><Relationship Id="rId147" Type="http://schemas.openxmlformats.org/officeDocument/2006/relationships/hyperlink" Target="https://www.breitbart.com/clips/2021/05/21/scarborough-if-you-dont-accept-2020-results-just-get-the-hell-out-of-the-country/" TargetMode="External"/><Relationship Id="rId168" Type="http://schemas.openxmlformats.org/officeDocument/2006/relationships/hyperlink" Target="https://finance.yahoo.com/quote/2020.SR/" TargetMode="External"/><Relationship Id="rId8" Type="http://schemas.openxmlformats.org/officeDocument/2006/relationships/hyperlink" Target="http://cnn.com/" TargetMode="External"/><Relationship Id="rId51" Type="http://schemas.openxmlformats.org/officeDocument/2006/relationships/hyperlink" Target="http://usatoday.com/" TargetMode="External"/><Relationship Id="rId72" Type="http://schemas.openxmlformats.org/officeDocument/2006/relationships/hyperlink" Target="http://finance.yahoo.com/" TargetMode="External"/><Relationship Id="rId93" Type="http://schemas.openxmlformats.org/officeDocument/2006/relationships/hyperlink" Target="https://www.nytimes.com/interactive/2020/12/13/sports/coronavirus-sports-economy-wisconsin.html" TargetMode="External"/><Relationship Id="rId98" Type="http://schemas.openxmlformats.org/officeDocument/2006/relationships/hyperlink" Target="https://www.cnn.com/interactive/2020/12/us/america-racism-2020/" TargetMode="External"/><Relationship Id="rId121" Type="http://schemas.openxmlformats.org/officeDocument/2006/relationships/hyperlink" Target="https://people.com/celebrity/people-reveals-2020-people-of-the-year/" TargetMode="External"/><Relationship Id="rId142" Type="http://schemas.openxmlformats.org/officeDocument/2006/relationships/hyperlink" Target="https://www.usatoday.com/story/life/2020/04/14/2020-canceled-coronavirus-makes-year-things-didnt-happen/2992020001/" TargetMode="External"/><Relationship Id="rId163" Type="http://schemas.openxmlformats.org/officeDocument/2006/relationships/hyperlink" Target="https://finance.yahoo.com/news/tech-winners-2020-160023810.html" TargetMode="External"/><Relationship Id="rId3" Type="http://schemas.openxmlformats.org/officeDocument/2006/relationships/hyperlink" Target="http://nytimes.com/" TargetMode="External"/><Relationship Id="rId25" Type="http://schemas.openxmlformats.org/officeDocument/2006/relationships/hyperlink" Target="http://people.com/" TargetMode="External"/><Relationship Id="rId46" Type="http://schemas.openxmlformats.org/officeDocument/2006/relationships/hyperlink" Target="http://usatoday.com/" TargetMode="External"/><Relationship Id="rId67" Type="http://schemas.openxmlformats.org/officeDocument/2006/relationships/hyperlink" Target="http://dailykos.com/" TargetMode="External"/><Relationship Id="rId116" Type="http://schemas.openxmlformats.org/officeDocument/2006/relationships/hyperlink" Target="https://people.com/syndication/record-number-2020-movies-directed-by-women-study/" TargetMode="External"/><Relationship Id="rId137" Type="http://schemas.openxmlformats.org/officeDocument/2006/relationships/hyperlink" Target="https://www.usatoday.com/story/life/2020/09/11/is-halloween-canceled-2020-parents-and-cities-hope-not-medical-experts-warn-threat-of-coronavirus/5762685002/" TargetMode="External"/><Relationship Id="rId158" Type="http://schemas.openxmlformats.org/officeDocument/2006/relationships/hyperlink" Target="https://www.dailykos.com/stories/2022/9/7/2121191/-Daily-Kos-Elections-announces-publication-of-2020-presidential-results-for-new-House-districts" TargetMode="External"/><Relationship Id="rId20" Type="http://schemas.openxmlformats.org/officeDocument/2006/relationships/hyperlink" Target="http://foxnews.com/" TargetMode="External"/><Relationship Id="rId41" Type="http://schemas.openxmlformats.org/officeDocument/2006/relationships/hyperlink" Target="http://nypost.com/" TargetMode="External"/><Relationship Id="rId62" Type="http://schemas.openxmlformats.org/officeDocument/2006/relationships/hyperlink" Target="http://dailykos.com/" TargetMode="External"/><Relationship Id="rId83" Type="http://schemas.openxmlformats.org/officeDocument/2006/relationships/hyperlink" Target="http://cnbc.com/" TargetMode="External"/><Relationship Id="rId88" Type="http://schemas.openxmlformats.org/officeDocument/2006/relationships/hyperlink" Target="http://cnbc.com/" TargetMode="External"/><Relationship Id="rId111" Type="http://schemas.openxmlformats.org/officeDocument/2006/relationships/hyperlink" Target="https://press.foxnews.com/2020/12/fox-news-media-signs-laura-ingraham-to-new-multi-year-deal" TargetMode="External"/><Relationship Id="rId132" Type="http://schemas.openxmlformats.org/officeDocument/2006/relationships/hyperlink" Target="https://nypost.com/ss-post/the-16-most-anticipated-original-films-coming-to-streaming-in-2020/" TargetMode="External"/><Relationship Id="rId153" Type="http://schemas.openxmlformats.org/officeDocument/2006/relationships/hyperlink" Target="https://www.dailykos.com/stories/2024/11/6/2283328/-Trump-received-less-votes-than-2020-and-he-still-won" TargetMode="External"/><Relationship Id="rId174" Type="http://schemas.openxmlformats.org/officeDocument/2006/relationships/hyperlink" Target="https://www.cnbc.com/2025/01/14/us-justice-department-releases-report-on-trump-attempt-to-overturn-2020-election.html" TargetMode="External"/><Relationship Id="rId179" Type="http://schemas.openxmlformats.org/officeDocument/2006/relationships/hyperlink" Target="https://www.cnbc.com/2021/02/02/amazon-amzn-earnings-q4-2020.html" TargetMode="External"/><Relationship Id="rId15" Type="http://schemas.openxmlformats.org/officeDocument/2006/relationships/hyperlink" Target="http://cnn.com/" TargetMode="External"/><Relationship Id="rId36" Type="http://schemas.openxmlformats.org/officeDocument/2006/relationships/hyperlink" Target="http://nypost.com/" TargetMode="External"/><Relationship Id="rId57" Type="http://schemas.openxmlformats.org/officeDocument/2006/relationships/hyperlink" Target="http://breitbart.com/" TargetMode="External"/><Relationship Id="rId106" Type="http://schemas.openxmlformats.org/officeDocument/2006/relationships/hyperlink" Target="https://www.cnn.com/2020/12/10/us/2020-in-review-fast-facts" TargetMode="External"/><Relationship Id="rId127" Type="http://schemas.openxmlformats.org/officeDocument/2006/relationships/hyperlink" Target="https://nypost.com/article/best-movies-of-2020/" TargetMode="External"/><Relationship Id="rId10" Type="http://schemas.openxmlformats.org/officeDocument/2006/relationships/hyperlink" Target="http://cnn.com/" TargetMode="External"/><Relationship Id="rId31" Type="http://schemas.openxmlformats.org/officeDocument/2006/relationships/hyperlink" Target="http://people.com/" TargetMode="External"/><Relationship Id="rId52" Type="http://schemas.openxmlformats.org/officeDocument/2006/relationships/hyperlink" Target="http://breitbart.com/" TargetMode="External"/><Relationship Id="rId73" Type="http://schemas.openxmlformats.org/officeDocument/2006/relationships/hyperlink" Target="http://finance.yahoo.com/" TargetMode="External"/><Relationship Id="rId78" Type="http://schemas.openxmlformats.org/officeDocument/2006/relationships/hyperlink" Target="http://finance.yahoo.com/" TargetMode="External"/><Relationship Id="rId94" Type="http://schemas.openxmlformats.org/officeDocument/2006/relationships/hyperlink" Target="https://www.nytimes.com/interactive/2020/11/03/us/elections/results-president.html" TargetMode="External"/><Relationship Id="rId99" Type="http://schemas.openxmlformats.org/officeDocument/2006/relationships/hyperlink" Target="https://www.cnn.com/interactive/2020/07/world/2020-year-in-review-july/" TargetMode="External"/><Relationship Id="rId101" Type="http://schemas.openxmlformats.org/officeDocument/2006/relationships/hyperlink" Target="https://www.cnn.com/2020/12/30/us/2021-murder-hornets-cicadas-scary-bugs-trnd/index.html" TargetMode="External"/><Relationship Id="rId122" Type="http://schemas.openxmlformats.org/officeDocument/2006/relationships/hyperlink" Target="https://people.com/celebrity/celebrity-splits-of-2020/" TargetMode="External"/><Relationship Id="rId143" Type="http://schemas.openxmlformats.org/officeDocument/2006/relationships/hyperlink" Target="https://www.breitbart.com/2020-election/2020/07/14/red-november-the-unabashed-socialism-of-the-2020-democratic-party-primary/" TargetMode="External"/><Relationship Id="rId148" Type="http://schemas.openxmlformats.org/officeDocument/2006/relationships/hyperlink" Target="https://www.breitbart.com/tech/2020/09/04/partys-over-trump-orders-purge-of-critical-race-theory-from-federal-agencies/" TargetMode="External"/><Relationship Id="rId164" Type="http://schemas.openxmlformats.org/officeDocument/2006/relationships/hyperlink" Target="https://finance.yahoo.com/news/the-most-overlooked-business-story-of-2020-174801942.html" TargetMode="External"/><Relationship Id="rId169" Type="http://schemas.openxmlformats.org/officeDocument/2006/relationships/hyperlink" Target="https://finance.yahoo.com/news/2020-review-google-130032427.html" TargetMode="External"/><Relationship Id="rId4" Type="http://schemas.openxmlformats.org/officeDocument/2006/relationships/hyperlink" Target="http://nytimes.com/" TargetMode="External"/><Relationship Id="rId9" Type="http://schemas.openxmlformats.org/officeDocument/2006/relationships/hyperlink" Target="http://cnn.com/" TargetMode="External"/><Relationship Id="rId180" Type="http://schemas.openxmlformats.org/officeDocument/2006/relationships/hyperlink" Target="https://www.cnbc.com/2021/03/31/covid-was-third-leading-cause-of-death-in-us-in-2020-behind-heart-disease-and-cancer-cdc-says.html" TargetMode="External"/><Relationship Id="rId26" Type="http://schemas.openxmlformats.org/officeDocument/2006/relationships/hyperlink" Target="http://people.com/" TargetMode="External"/><Relationship Id="rId47" Type="http://schemas.openxmlformats.org/officeDocument/2006/relationships/hyperlink" Target="http://usatoday.com/" TargetMode="External"/><Relationship Id="rId68" Type="http://schemas.openxmlformats.org/officeDocument/2006/relationships/hyperlink" Target="http://dailykos.com/" TargetMode="External"/><Relationship Id="rId89" Type="http://schemas.openxmlformats.org/officeDocument/2006/relationships/hyperlink" Target="http://cnbc.com/" TargetMode="External"/><Relationship Id="rId112" Type="http://schemas.openxmlformats.org/officeDocument/2006/relationships/hyperlink" Target="https://www.foxnews.com/elections/2020/general-results" TargetMode="External"/><Relationship Id="rId133" Type="http://schemas.openxmlformats.org/officeDocument/2006/relationships/hyperlink" Target="https://nypost.com/2020/01/27/super-bowl-2020-is-overtaken-by-kobe-bryant-sorrow/" TargetMode="External"/><Relationship Id="rId154" Type="http://schemas.openxmlformats.org/officeDocument/2006/relationships/hyperlink" Target="https://www.dailykos.com/stories/2021/2/22/2017070/-Morning-Digest-We-ve-finished-calculating-the-2020-presidential-results-for-every-House-district" TargetMode="External"/><Relationship Id="rId175" Type="http://schemas.openxmlformats.org/officeDocument/2006/relationships/hyperlink" Target="https://www.cnbc.com/2020/06/16/meet-the-2020-cnbc-disruptor-50-companies.html" TargetMode="External"/><Relationship Id="rId16" Type="http://schemas.openxmlformats.org/officeDocument/2006/relationships/hyperlink" Target="http://foxnews.com/" TargetMode="External"/><Relationship Id="rId37" Type="http://schemas.openxmlformats.org/officeDocument/2006/relationships/hyperlink" Target="http://nypost.com/" TargetMode="External"/><Relationship Id="rId58" Type="http://schemas.openxmlformats.org/officeDocument/2006/relationships/hyperlink" Target="http://breitbart.com/" TargetMode="External"/><Relationship Id="rId79" Type="http://schemas.openxmlformats.org/officeDocument/2006/relationships/hyperlink" Target="http://finance.yahoo.com/" TargetMode="External"/><Relationship Id="rId102" Type="http://schemas.openxmlformats.org/officeDocument/2006/relationships/hyperlink" Target="https://www.cnn.com/2020/12/23/us/top-100-digital-stories-2020-trnd" TargetMode="External"/><Relationship Id="rId123" Type="http://schemas.openxmlformats.org/officeDocument/2006/relationships/hyperlink" Target="https://people.com/human-interest/merriam-webster-announces-pandemic-is-its-2020-word-of-the-year/?utm=newsbreak" TargetMode="External"/><Relationship Id="rId144" Type="http://schemas.openxmlformats.org/officeDocument/2006/relationships/hyperlink" Target="https://www.breitbart.com/clips/2021/01/04/jonathan-turley-why-on-earth-would-someone-oppose-reviewing-the-2020-election/" TargetMode="External"/><Relationship Id="rId90" Type="http://schemas.openxmlformats.org/officeDocument/2006/relationships/hyperlink" Target="http://newsweek.com/" TargetMode="External"/><Relationship Id="rId165" Type="http://schemas.openxmlformats.org/officeDocument/2006/relationships/hyperlink" Target="https://finance.yahoo.com/news/stocks-havent-fallen-this-much-since-2020-their-recovery-could-look-different-this-time-212645541.html" TargetMode="External"/><Relationship Id="rId27" Type="http://schemas.openxmlformats.org/officeDocument/2006/relationships/hyperlink" Target="http://people.com/" TargetMode="External"/><Relationship Id="rId48" Type="http://schemas.openxmlformats.org/officeDocument/2006/relationships/hyperlink" Target="http://usatoday.com/" TargetMode="External"/><Relationship Id="rId69" Type="http://schemas.openxmlformats.org/officeDocument/2006/relationships/hyperlink" Target="http://dailykos.com/" TargetMode="External"/><Relationship Id="rId113" Type="http://schemas.openxmlformats.org/officeDocument/2006/relationships/hyperlink" Target="https://www.foxnews.com/entertainment/netflix-december-2020" TargetMode="External"/><Relationship Id="rId134" Type="http://schemas.openxmlformats.org/officeDocument/2006/relationships/hyperlink" Target="https://nypost.com/2025/07/01/us-news/pfizer-scientist-subpoenaed-over-claims-covid-vax-testing-was-deliberately-slowed-before-2020-election/" TargetMode="External"/><Relationship Id="rId80" Type="http://schemas.openxmlformats.org/officeDocument/2006/relationships/hyperlink" Target="http://cnbc.com/" TargetMode="External"/><Relationship Id="rId155" Type="http://schemas.openxmlformats.org/officeDocument/2006/relationships/hyperlink" Target="https://www.dailykos.com/stories/2025/3/14/2310155/-This-state-wants-to-brainwash-kids-about-Trump-s-2020-election-lie" TargetMode="External"/><Relationship Id="rId176" Type="http://schemas.openxmlformats.org/officeDocument/2006/relationships/hyperlink" Target="https://www.cnbc.com/2021/01/28/toyota-beats-volkswagen-to-become-worlds-nopoint1-car-seller-in-2020.html" TargetMode="External"/><Relationship Id="rId17" Type="http://schemas.openxmlformats.org/officeDocument/2006/relationships/hyperlink" Target="http://foxnews.com/" TargetMode="External"/><Relationship Id="rId38" Type="http://schemas.openxmlformats.org/officeDocument/2006/relationships/hyperlink" Target="http://nypost.com/" TargetMode="External"/><Relationship Id="rId59" Type="http://schemas.openxmlformats.org/officeDocument/2006/relationships/hyperlink" Target="http://breitbart.com/" TargetMode="External"/><Relationship Id="rId103" Type="http://schemas.openxmlformats.org/officeDocument/2006/relationships/hyperlink" Target="https://www.cnn.com/2021/01/03/uk/covid-19-conspiracy-theories-2020-intl-gbr" TargetMode="External"/><Relationship Id="rId124" Type="http://schemas.openxmlformats.org/officeDocument/2006/relationships/hyperlink" Target="https://people.com/tv/emmys-2020-best-family-moments/" TargetMode="External"/><Relationship Id="rId70" Type="http://schemas.openxmlformats.org/officeDocument/2006/relationships/hyperlink" Target="http://finance.yahoo.com/" TargetMode="External"/><Relationship Id="rId91" Type="http://schemas.openxmlformats.org/officeDocument/2006/relationships/hyperlink" Target="http://newsweek.com/" TargetMode="External"/><Relationship Id="rId145" Type="http://schemas.openxmlformats.org/officeDocument/2006/relationships/hyperlink" Target="https://www.breitbart.com/politics/2020/11/07/gop-lawmakers-double-down-media-do-not-get-to-determine-who-the-president-is/" TargetMode="External"/><Relationship Id="rId166" Type="http://schemas.openxmlformats.org/officeDocument/2006/relationships/hyperlink" Target="https://finance.yahoo.com/quote/2020.HK/" TargetMode="External"/><Relationship Id="rId1" Type="http://schemas.openxmlformats.org/officeDocument/2006/relationships/hyperlink" Target="http://nytimes.com/" TargetMode="External"/><Relationship Id="rId28" Type="http://schemas.openxmlformats.org/officeDocument/2006/relationships/hyperlink" Target="http://people.com/" TargetMode="External"/><Relationship Id="rId49" Type="http://schemas.openxmlformats.org/officeDocument/2006/relationships/hyperlink" Target="http://usatoday.com/" TargetMode="External"/><Relationship Id="rId114" Type="http://schemas.openxmlformats.org/officeDocument/2006/relationships/hyperlink" Target="https://www.foxnews.com/elections/2020/general-results/voter-analys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959"/>
  <sheetViews>
    <sheetView tabSelected="1" topLeftCell="A91" workbookViewId="0">
      <selection activeCell="E6" sqref="E6"/>
    </sheetView>
  </sheetViews>
  <sheetFormatPr defaultColWidth="12.5546875" defaultRowHeight="15.75" customHeight="1"/>
  <cols>
    <col min="2" max="2" width="36.44140625" customWidth="1"/>
    <col min="5" max="5" width="55.6640625" customWidth="1"/>
  </cols>
  <sheetData>
    <row r="1" spans="1:5" ht="15.75" customHeight="1">
      <c r="A1" s="1" t="s">
        <v>255</v>
      </c>
      <c r="B1" s="1" t="s">
        <v>256</v>
      </c>
      <c r="C1" s="1" t="s">
        <v>2</v>
      </c>
      <c r="D1" s="1" t="s">
        <v>0</v>
      </c>
      <c r="E1" s="2" t="s">
        <v>1</v>
      </c>
    </row>
    <row r="2" spans="1:5" ht="15.75" customHeight="1">
      <c r="A2" s="3" t="s">
        <v>3</v>
      </c>
      <c r="B2" s="1" t="s">
        <v>4</v>
      </c>
      <c r="C2" s="3" t="s">
        <v>7</v>
      </c>
      <c r="D2" s="1" t="s">
        <v>5</v>
      </c>
      <c r="E2" s="2" t="s">
        <v>6</v>
      </c>
    </row>
    <row r="3" spans="1:5" ht="15.75" customHeight="1">
      <c r="A3" s="3" t="s">
        <v>3</v>
      </c>
      <c r="B3" s="1" t="s">
        <v>8</v>
      </c>
      <c r="C3" s="3" t="s">
        <v>11</v>
      </c>
      <c r="D3" s="1" t="s">
        <v>9</v>
      </c>
      <c r="E3" s="2" t="s">
        <v>10</v>
      </c>
    </row>
    <row r="4" spans="1:5" ht="15.75" customHeight="1">
      <c r="A4" s="3" t="s">
        <v>3</v>
      </c>
      <c r="B4" s="1" t="s">
        <v>12</v>
      </c>
      <c r="C4" s="4" t="s">
        <v>15</v>
      </c>
      <c r="D4" s="1" t="s">
        <v>13</v>
      </c>
      <c r="E4" s="2" t="s">
        <v>14</v>
      </c>
    </row>
    <row r="5" spans="1:5" ht="15.75" customHeight="1">
      <c r="A5" s="3" t="s">
        <v>3</v>
      </c>
      <c r="B5" s="1" t="s">
        <v>16</v>
      </c>
      <c r="C5" s="3" t="s">
        <v>19</v>
      </c>
      <c r="D5" s="1" t="s">
        <v>17</v>
      </c>
      <c r="E5" s="2" t="s">
        <v>18</v>
      </c>
    </row>
    <row r="6" spans="1:5" ht="15.75" customHeight="1">
      <c r="A6" s="3" t="s">
        <v>3</v>
      </c>
      <c r="B6" s="1" t="s">
        <v>20</v>
      </c>
      <c r="C6" s="3" t="s">
        <v>23</v>
      </c>
      <c r="D6" s="1" t="s">
        <v>21</v>
      </c>
      <c r="E6" s="2" t="s">
        <v>22</v>
      </c>
    </row>
    <row r="7" spans="1:5" ht="15.75" customHeight="1">
      <c r="A7" s="3" t="s">
        <v>3</v>
      </c>
      <c r="B7" s="16" t="s">
        <v>24</v>
      </c>
      <c r="C7" s="16"/>
      <c r="D7" s="17"/>
      <c r="E7" s="2" t="s">
        <v>25</v>
      </c>
    </row>
    <row r="8" spans="1:5" ht="15.75" customHeight="1">
      <c r="A8" s="3" t="s">
        <v>26</v>
      </c>
      <c r="B8" s="16" t="s">
        <v>27</v>
      </c>
      <c r="C8" s="16"/>
      <c r="D8" s="17"/>
      <c r="E8" s="2" t="s">
        <v>28</v>
      </c>
    </row>
    <row r="9" spans="1:5" ht="15.75" customHeight="1">
      <c r="A9" s="3" t="s">
        <v>26</v>
      </c>
      <c r="B9" s="16" t="s">
        <v>29</v>
      </c>
      <c r="C9" s="16"/>
      <c r="D9" s="17"/>
      <c r="E9" s="2" t="s">
        <v>30</v>
      </c>
    </row>
    <row r="10" spans="1:5" ht="15.75" customHeight="1">
      <c r="A10" s="3" t="s">
        <v>26</v>
      </c>
      <c r="B10" s="1" t="s">
        <v>31</v>
      </c>
      <c r="C10" s="3" t="s">
        <v>34</v>
      </c>
      <c r="D10" s="1" t="s">
        <v>32</v>
      </c>
      <c r="E10" s="2" t="s">
        <v>33</v>
      </c>
    </row>
    <row r="11" spans="1:5" ht="15.75" customHeight="1">
      <c r="A11" s="3" t="s">
        <v>26</v>
      </c>
      <c r="B11" s="1" t="s">
        <v>35</v>
      </c>
      <c r="C11" s="3" t="s">
        <v>38</v>
      </c>
      <c r="D11" s="1" t="s">
        <v>36</v>
      </c>
      <c r="E11" s="2" t="s">
        <v>37</v>
      </c>
    </row>
    <row r="12" spans="1:5" ht="15.75" customHeight="1">
      <c r="A12" s="3" t="s">
        <v>26</v>
      </c>
      <c r="B12" s="1" t="s">
        <v>39</v>
      </c>
      <c r="C12" s="3" t="s">
        <v>42</v>
      </c>
      <c r="D12" s="1" t="s">
        <v>40</v>
      </c>
      <c r="E12" s="2" t="s">
        <v>41</v>
      </c>
    </row>
    <row r="13" spans="1:5" ht="15.75" customHeight="1">
      <c r="A13" s="3" t="s">
        <v>26</v>
      </c>
      <c r="B13" s="1" t="s">
        <v>43</v>
      </c>
      <c r="C13" s="3" t="s">
        <v>46</v>
      </c>
      <c r="D13" s="1" t="s">
        <v>44</v>
      </c>
      <c r="E13" s="2" t="s">
        <v>45</v>
      </c>
    </row>
    <row r="14" spans="1:5" ht="15.75" customHeight="1">
      <c r="A14" s="3" t="s">
        <v>26</v>
      </c>
      <c r="B14" s="1" t="s">
        <v>47</v>
      </c>
      <c r="C14" s="3" t="s">
        <v>50</v>
      </c>
      <c r="D14" s="1" t="s">
        <v>48</v>
      </c>
      <c r="E14" s="2" t="s">
        <v>49</v>
      </c>
    </row>
    <row r="15" spans="1:5" ht="15.75" customHeight="1">
      <c r="A15" s="3" t="s">
        <v>26</v>
      </c>
      <c r="B15" s="1" t="s">
        <v>51</v>
      </c>
      <c r="C15" s="3" t="s">
        <v>54</v>
      </c>
      <c r="D15" s="1" t="s">
        <v>52</v>
      </c>
      <c r="E15" s="2" t="s">
        <v>53</v>
      </c>
    </row>
    <row r="16" spans="1:5" ht="15.75" customHeight="1">
      <c r="A16" s="3" t="s">
        <v>26</v>
      </c>
      <c r="B16" s="1" t="s">
        <v>55</v>
      </c>
      <c r="C16" s="3" t="s">
        <v>58</v>
      </c>
      <c r="D16" s="1" t="s">
        <v>56</v>
      </c>
      <c r="E16" s="2" t="s">
        <v>57</v>
      </c>
    </row>
    <row r="17" spans="1:5" ht="15.75" customHeight="1">
      <c r="A17" s="3" t="s">
        <v>59</v>
      </c>
      <c r="B17" s="16" t="s">
        <v>60</v>
      </c>
      <c r="C17" s="16"/>
      <c r="D17" s="17"/>
      <c r="E17" s="2" t="s">
        <v>61</v>
      </c>
    </row>
    <row r="18" spans="1:5" ht="15.75" customHeight="1">
      <c r="A18" s="3" t="s">
        <v>59</v>
      </c>
      <c r="B18" s="16" t="s">
        <v>62</v>
      </c>
      <c r="C18" s="16"/>
      <c r="D18" s="17"/>
      <c r="E18" s="2" t="s">
        <v>63</v>
      </c>
    </row>
    <row r="19" spans="1:5" ht="15.75" customHeight="1">
      <c r="A19" s="3" t="s">
        <v>59</v>
      </c>
      <c r="B19" s="16" t="s">
        <v>64</v>
      </c>
      <c r="C19" s="16"/>
      <c r="D19" s="17"/>
      <c r="E19" s="2" t="s">
        <v>65</v>
      </c>
    </row>
    <row r="20" spans="1:5" ht="15.75" customHeight="1">
      <c r="A20" s="3" t="s">
        <v>59</v>
      </c>
      <c r="B20" s="16" t="s">
        <v>66</v>
      </c>
      <c r="C20" s="16"/>
      <c r="D20" s="17"/>
      <c r="E20" s="2" t="s">
        <v>67</v>
      </c>
    </row>
    <row r="21" spans="1:5" ht="15.75" customHeight="1">
      <c r="A21" s="3" t="s">
        <v>59</v>
      </c>
      <c r="B21" s="1" t="s">
        <v>68</v>
      </c>
      <c r="C21" s="14" t="s">
        <v>251</v>
      </c>
      <c r="D21" s="5"/>
      <c r="E21" s="15" t="s">
        <v>254</v>
      </c>
    </row>
    <row r="22" spans="1:5" ht="15.75" customHeight="1">
      <c r="A22" s="3" t="s">
        <v>59</v>
      </c>
      <c r="B22" s="16" t="s">
        <v>69</v>
      </c>
      <c r="C22" s="16"/>
      <c r="D22" s="17"/>
      <c r="E22" s="15" t="s">
        <v>70</v>
      </c>
    </row>
    <row r="23" spans="1:5" ht="15.75" customHeight="1">
      <c r="A23" s="3" t="s">
        <v>59</v>
      </c>
      <c r="B23" s="16" t="s">
        <v>71</v>
      </c>
      <c r="C23" s="16"/>
      <c r="D23" s="17"/>
      <c r="E23" s="2" t="s">
        <v>72</v>
      </c>
    </row>
    <row r="24" spans="1:5" ht="15.75" customHeight="1">
      <c r="A24" s="3" t="s">
        <v>59</v>
      </c>
      <c r="B24" s="16" t="s">
        <v>73</v>
      </c>
      <c r="C24" s="16"/>
      <c r="D24" s="17"/>
      <c r="E24" s="2" t="s">
        <v>74</v>
      </c>
    </row>
    <row r="25" spans="1:5" ht="15.75" customHeight="1">
      <c r="A25" s="3" t="s">
        <v>59</v>
      </c>
      <c r="B25" s="16" t="s">
        <v>75</v>
      </c>
      <c r="C25" s="16"/>
      <c r="D25" s="17"/>
      <c r="E25" s="2" t="s">
        <v>76</v>
      </c>
    </row>
    <row r="26" spans="1:5" ht="15.75" customHeight="1">
      <c r="A26" s="3" t="s">
        <v>77</v>
      </c>
      <c r="B26" s="16" t="s">
        <v>78</v>
      </c>
      <c r="C26" s="16"/>
      <c r="D26" s="17"/>
      <c r="E26" s="2" t="s">
        <v>79</v>
      </c>
    </row>
    <row r="27" spans="1:5" ht="15.75" customHeight="1">
      <c r="A27" s="3" t="s">
        <v>77</v>
      </c>
      <c r="B27" s="16" t="s">
        <v>80</v>
      </c>
      <c r="C27" s="16"/>
      <c r="D27" s="17"/>
      <c r="E27" s="2" t="s">
        <v>81</v>
      </c>
    </row>
    <row r="28" spans="1:5" ht="15.75" customHeight="1">
      <c r="A28" s="3" t="s">
        <v>77</v>
      </c>
      <c r="B28" s="16" t="s">
        <v>82</v>
      </c>
      <c r="C28" s="16"/>
      <c r="D28" s="17"/>
      <c r="E28" s="2" t="s">
        <v>83</v>
      </c>
    </row>
    <row r="29" spans="1:5" ht="15.75" customHeight="1">
      <c r="A29" s="3" t="s">
        <v>77</v>
      </c>
      <c r="B29" s="16" t="s">
        <v>84</v>
      </c>
      <c r="C29" s="16"/>
      <c r="D29" s="17"/>
      <c r="E29" s="2" t="s">
        <v>85</v>
      </c>
    </row>
    <row r="30" spans="1:5" ht="15.75" customHeight="1">
      <c r="A30" s="3" t="s">
        <v>77</v>
      </c>
      <c r="B30" s="16" t="s">
        <v>86</v>
      </c>
      <c r="C30" s="16"/>
      <c r="D30" s="17"/>
      <c r="E30" s="2" t="s">
        <v>87</v>
      </c>
    </row>
    <row r="31" spans="1:5" ht="15.75" customHeight="1">
      <c r="A31" s="3" t="s">
        <v>77</v>
      </c>
      <c r="B31" s="16" t="s">
        <v>88</v>
      </c>
      <c r="C31" s="16"/>
      <c r="D31" s="17"/>
      <c r="E31" s="2" t="s">
        <v>89</v>
      </c>
    </row>
    <row r="32" spans="1:5" ht="15.75" customHeight="1">
      <c r="A32" s="3" t="s">
        <v>77</v>
      </c>
      <c r="B32" s="16" t="s">
        <v>90</v>
      </c>
      <c r="C32" s="16"/>
      <c r="D32" s="17"/>
      <c r="E32" s="2" t="s">
        <v>91</v>
      </c>
    </row>
    <row r="33" spans="1:5" ht="15.75" customHeight="1">
      <c r="A33" s="3" t="s">
        <v>77</v>
      </c>
      <c r="B33" s="16" t="s">
        <v>92</v>
      </c>
      <c r="C33" s="16"/>
      <c r="D33" s="17"/>
      <c r="E33" s="2" t="s">
        <v>93</v>
      </c>
    </row>
    <row r="34" spans="1:5" ht="15.75" customHeight="1">
      <c r="A34" s="3" t="s">
        <v>77</v>
      </c>
      <c r="B34" s="16" t="s">
        <v>94</v>
      </c>
      <c r="C34" s="16"/>
      <c r="D34" s="17"/>
      <c r="E34" s="2" t="s">
        <v>95</v>
      </c>
    </row>
    <row r="35" spans="1:5" ht="15.75" customHeight="1">
      <c r="A35" s="3" t="s">
        <v>77</v>
      </c>
      <c r="B35" s="16" t="s">
        <v>96</v>
      </c>
      <c r="C35" s="16"/>
      <c r="D35" s="17"/>
      <c r="E35" s="2" t="s">
        <v>97</v>
      </c>
    </row>
    <row r="36" spans="1:5" ht="15.75" customHeight="1">
      <c r="A36" s="3" t="s">
        <v>98</v>
      </c>
      <c r="B36" s="1" t="s">
        <v>99</v>
      </c>
      <c r="C36" s="3" t="s">
        <v>102</v>
      </c>
      <c r="D36" s="1" t="s">
        <v>100</v>
      </c>
      <c r="E36" s="2" t="s">
        <v>101</v>
      </c>
    </row>
    <row r="37" spans="1:5" ht="14.4">
      <c r="A37" s="3" t="s">
        <v>98</v>
      </c>
      <c r="B37" s="1" t="s">
        <v>103</v>
      </c>
      <c r="C37" s="3" t="s">
        <v>106</v>
      </c>
      <c r="D37" s="1" t="s">
        <v>104</v>
      </c>
      <c r="E37" s="2" t="s">
        <v>105</v>
      </c>
    </row>
    <row r="38" spans="1:5" ht="14.4">
      <c r="A38" s="3" t="s">
        <v>98</v>
      </c>
      <c r="B38" s="1" t="s">
        <v>107</v>
      </c>
      <c r="C38" s="3" t="s">
        <v>110</v>
      </c>
      <c r="D38" s="1" t="s">
        <v>108</v>
      </c>
      <c r="E38" s="2" t="s">
        <v>109</v>
      </c>
    </row>
    <row r="39" spans="1:5" ht="14.4">
      <c r="A39" s="3" t="s">
        <v>98</v>
      </c>
      <c r="B39" s="1" t="s">
        <v>111</v>
      </c>
      <c r="C39" s="3" t="s">
        <v>114</v>
      </c>
      <c r="D39" s="1" t="s">
        <v>112</v>
      </c>
      <c r="E39" s="2" t="s">
        <v>113</v>
      </c>
    </row>
    <row r="40" spans="1:5" ht="14.4">
      <c r="A40" s="3" t="s">
        <v>98</v>
      </c>
      <c r="B40" s="18">
        <v>44166</v>
      </c>
      <c r="C40" s="18"/>
      <c r="D40" s="17"/>
      <c r="E40" s="2" t="s">
        <v>115</v>
      </c>
    </row>
    <row r="41" spans="1:5" ht="14.4">
      <c r="A41" s="3" t="s">
        <v>98</v>
      </c>
      <c r="B41" s="1" t="s">
        <v>116</v>
      </c>
      <c r="C41" s="3" t="s">
        <v>119</v>
      </c>
      <c r="D41" s="1" t="s">
        <v>117</v>
      </c>
      <c r="E41" s="2" t="s">
        <v>118</v>
      </c>
    </row>
    <row r="42" spans="1:5" ht="14.4">
      <c r="A42" s="3" t="s">
        <v>98</v>
      </c>
      <c r="B42" s="1" t="s">
        <v>120</v>
      </c>
      <c r="C42" s="3" t="s">
        <v>123</v>
      </c>
      <c r="D42" s="1" t="s">
        <v>121</v>
      </c>
      <c r="E42" s="2" t="s">
        <v>122</v>
      </c>
    </row>
    <row r="43" spans="1:5" ht="14.4">
      <c r="A43" s="3" t="s">
        <v>98</v>
      </c>
      <c r="B43" s="1" t="s">
        <v>124</v>
      </c>
      <c r="C43" s="3" t="s">
        <v>127</v>
      </c>
      <c r="D43" s="1" t="s">
        <v>125</v>
      </c>
      <c r="E43" s="2" t="s">
        <v>126</v>
      </c>
    </row>
    <row r="44" spans="1:5" ht="14.4">
      <c r="A44" s="3" t="s">
        <v>98</v>
      </c>
      <c r="B44" s="1" t="s">
        <v>128</v>
      </c>
      <c r="C44" s="3" t="s">
        <v>131</v>
      </c>
      <c r="D44" s="1" t="s">
        <v>129</v>
      </c>
      <c r="E44" s="2" t="s">
        <v>130</v>
      </c>
    </row>
    <row r="45" spans="1:5" ht="14.4">
      <c r="A45" s="3" t="s">
        <v>132</v>
      </c>
      <c r="B45" s="16" t="s">
        <v>133</v>
      </c>
      <c r="C45" s="16"/>
      <c r="D45" s="17"/>
      <c r="E45" s="2" t="s">
        <v>134</v>
      </c>
    </row>
    <row r="46" spans="1:5" ht="14.4">
      <c r="A46" s="3" t="s">
        <v>132</v>
      </c>
      <c r="B46" s="16" t="s">
        <v>135</v>
      </c>
      <c r="C46" s="16"/>
      <c r="D46" s="17"/>
      <c r="E46" s="2" t="s">
        <v>136</v>
      </c>
    </row>
    <row r="47" spans="1:5" ht="14.4">
      <c r="A47" s="3" t="s">
        <v>132</v>
      </c>
      <c r="B47" s="16" t="s">
        <v>137</v>
      </c>
      <c r="C47" s="16"/>
      <c r="D47" s="17"/>
      <c r="E47" s="2" t="s">
        <v>138</v>
      </c>
    </row>
    <row r="48" spans="1:5" ht="14.4">
      <c r="A48" s="3" t="s">
        <v>132</v>
      </c>
      <c r="B48" s="16" t="s">
        <v>139</v>
      </c>
      <c r="C48" s="16"/>
      <c r="D48" s="17"/>
      <c r="E48" s="2" t="s">
        <v>140</v>
      </c>
    </row>
    <row r="49" spans="1:5" ht="14.4">
      <c r="A49" s="3" t="s">
        <v>132</v>
      </c>
      <c r="B49" s="16" t="s">
        <v>141</v>
      </c>
      <c r="C49" s="16"/>
      <c r="D49" s="17"/>
      <c r="E49" s="2" t="s">
        <v>142</v>
      </c>
    </row>
    <row r="50" spans="1:5" ht="14.4">
      <c r="A50" s="3" t="s">
        <v>132</v>
      </c>
      <c r="B50" s="16" t="s">
        <v>143</v>
      </c>
      <c r="C50" s="16"/>
      <c r="D50" s="17"/>
      <c r="E50" s="2" t="s">
        <v>144</v>
      </c>
    </row>
    <row r="51" spans="1:5" ht="14.4">
      <c r="A51" s="3" t="s">
        <v>132</v>
      </c>
      <c r="B51" s="16" t="s">
        <v>145</v>
      </c>
      <c r="C51" s="16"/>
      <c r="D51" s="17"/>
      <c r="E51" s="2" t="s">
        <v>146</v>
      </c>
    </row>
    <row r="52" spans="1:5" ht="14.4">
      <c r="A52" s="3" t="s">
        <v>132</v>
      </c>
      <c r="B52" s="16" t="s">
        <v>147</v>
      </c>
      <c r="C52" s="16"/>
      <c r="D52" s="17"/>
      <c r="E52" s="2" t="s">
        <v>148</v>
      </c>
    </row>
    <row r="53" spans="1:5" ht="14.4">
      <c r="A53" s="3" t="s">
        <v>149</v>
      </c>
      <c r="B53" s="1" t="s">
        <v>150</v>
      </c>
      <c r="C53" s="3" t="s">
        <v>153</v>
      </c>
      <c r="D53" s="1" t="s">
        <v>151</v>
      </c>
      <c r="E53" s="2" t="s">
        <v>152</v>
      </c>
    </row>
    <row r="54" spans="1:5" ht="14.4">
      <c r="A54" s="3" t="s">
        <v>149</v>
      </c>
      <c r="B54" s="1" t="s">
        <v>154</v>
      </c>
      <c r="C54" s="3" t="s">
        <v>157</v>
      </c>
      <c r="D54" s="1" t="s">
        <v>155</v>
      </c>
      <c r="E54" s="2" t="s">
        <v>156</v>
      </c>
    </row>
    <row r="55" spans="1:5" ht="14.4">
      <c r="A55" s="3" t="s">
        <v>149</v>
      </c>
      <c r="B55" s="1" t="s">
        <v>158</v>
      </c>
      <c r="C55" s="3" t="s">
        <v>161</v>
      </c>
      <c r="D55" s="1" t="s">
        <v>159</v>
      </c>
      <c r="E55" s="2" t="s">
        <v>160</v>
      </c>
    </row>
    <row r="56" spans="1:5" ht="14.4">
      <c r="A56" s="3" t="s">
        <v>149</v>
      </c>
      <c r="B56" s="1" t="s">
        <v>162</v>
      </c>
      <c r="C56" s="3" t="s">
        <v>165</v>
      </c>
      <c r="D56" s="1" t="s">
        <v>163</v>
      </c>
      <c r="E56" s="2" t="s">
        <v>164</v>
      </c>
    </row>
    <row r="57" spans="1:5" ht="14.4">
      <c r="A57" s="3" t="s">
        <v>149</v>
      </c>
      <c r="B57" s="1" t="s">
        <v>166</v>
      </c>
      <c r="C57" s="3" t="s">
        <v>169</v>
      </c>
      <c r="D57" s="1" t="s">
        <v>167</v>
      </c>
      <c r="E57" s="2" t="s">
        <v>168</v>
      </c>
    </row>
    <row r="58" spans="1:5" ht="14.4">
      <c r="A58" s="3" t="s">
        <v>149</v>
      </c>
      <c r="B58" s="1" t="s">
        <v>170</v>
      </c>
      <c r="C58" s="3" t="s">
        <v>173</v>
      </c>
      <c r="D58" s="1" t="s">
        <v>171</v>
      </c>
      <c r="E58" s="2" t="s">
        <v>172</v>
      </c>
    </row>
    <row r="59" spans="1:5" ht="14.4">
      <c r="A59" s="3" t="s">
        <v>149</v>
      </c>
      <c r="B59" s="1" t="s">
        <v>174</v>
      </c>
      <c r="C59" s="3" t="s">
        <v>177</v>
      </c>
      <c r="D59" s="1" t="s">
        <v>175</v>
      </c>
      <c r="E59" s="2" t="s">
        <v>176</v>
      </c>
    </row>
    <row r="60" spans="1:5" ht="14.4">
      <c r="A60" s="3" t="s">
        <v>149</v>
      </c>
      <c r="B60" s="1" t="s">
        <v>178</v>
      </c>
      <c r="C60" s="3" t="s">
        <v>181</v>
      </c>
      <c r="D60" s="1" t="s">
        <v>179</v>
      </c>
      <c r="E60" s="2" t="s">
        <v>180</v>
      </c>
    </row>
    <row r="61" spans="1:5" ht="14.4">
      <c r="A61" s="3" t="s">
        <v>149</v>
      </c>
      <c r="B61" s="1">
        <v>2020</v>
      </c>
      <c r="C61" s="3" t="s">
        <v>184</v>
      </c>
      <c r="D61" s="1" t="s">
        <v>182</v>
      </c>
      <c r="E61" s="2" t="s">
        <v>183</v>
      </c>
    </row>
    <row r="62" spans="1:5" ht="14.4">
      <c r="A62" s="3" t="s">
        <v>149</v>
      </c>
      <c r="B62" s="1" t="s">
        <v>185</v>
      </c>
      <c r="C62" s="3" t="s">
        <v>188</v>
      </c>
      <c r="D62" s="1" t="s">
        <v>186</v>
      </c>
      <c r="E62" s="2" t="s">
        <v>187</v>
      </c>
    </row>
    <row r="63" spans="1:5" ht="14.4">
      <c r="A63" s="3" t="s">
        <v>189</v>
      </c>
      <c r="B63" s="16" t="s">
        <v>190</v>
      </c>
      <c r="C63" s="16"/>
      <c r="D63" s="17"/>
      <c r="E63" s="2" t="s">
        <v>191</v>
      </c>
    </row>
    <row r="64" spans="1:5" ht="14.4">
      <c r="A64" s="3" t="s">
        <v>189</v>
      </c>
      <c r="B64" s="16" t="s">
        <v>192</v>
      </c>
      <c r="C64" s="16"/>
      <c r="D64" s="17"/>
      <c r="E64" s="2" t="s">
        <v>193</v>
      </c>
    </row>
    <row r="65" spans="1:10" ht="14.4">
      <c r="A65" s="3" t="s">
        <v>189</v>
      </c>
      <c r="B65" s="16" t="s">
        <v>194</v>
      </c>
      <c r="C65" s="16"/>
      <c r="D65" s="17"/>
      <c r="E65" s="2" t="s">
        <v>195</v>
      </c>
    </row>
    <row r="66" spans="1:10" ht="14.4">
      <c r="A66" s="3" t="s">
        <v>189</v>
      </c>
      <c r="B66" s="16" t="s">
        <v>196</v>
      </c>
      <c r="C66" s="16"/>
      <c r="D66" s="17"/>
      <c r="E66" s="2" t="s">
        <v>197</v>
      </c>
    </row>
    <row r="67" spans="1:10" ht="14.4">
      <c r="A67" s="3" t="s">
        <v>189</v>
      </c>
      <c r="B67" s="16" t="s">
        <v>198</v>
      </c>
      <c r="C67" s="16"/>
      <c r="D67" s="17"/>
      <c r="E67" s="2" t="s">
        <v>199</v>
      </c>
    </row>
    <row r="68" spans="1:10" ht="14.4">
      <c r="A68" s="3" t="s">
        <v>189</v>
      </c>
      <c r="B68" s="16" t="s">
        <v>200</v>
      </c>
      <c r="C68" s="16"/>
      <c r="D68" s="17"/>
      <c r="E68" s="2" t="s">
        <v>201</v>
      </c>
    </row>
    <row r="69" spans="1:10" ht="14.4">
      <c r="A69" s="3" t="s">
        <v>189</v>
      </c>
      <c r="B69" s="16" t="s">
        <v>202</v>
      </c>
      <c r="C69" s="16"/>
      <c r="D69" s="17"/>
      <c r="E69" s="2" t="s">
        <v>203</v>
      </c>
    </row>
    <row r="70" spans="1:10" ht="14.4">
      <c r="A70" s="3" t="s">
        <v>189</v>
      </c>
      <c r="B70" s="16" t="s">
        <v>204</v>
      </c>
      <c r="C70" s="16"/>
      <c r="D70" s="17"/>
      <c r="E70" s="2" t="s">
        <v>205</v>
      </c>
    </row>
    <row r="71" spans="1:10" ht="14.4">
      <c r="A71" s="6" t="s">
        <v>206</v>
      </c>
      <c r="B71" s="12" t="str">
        <f ca="1">IFERROR(__xludf.DUMMYFUNCTION("Hyperlink($F82, IMPORTXML($F82,""//title""))"),"#N/A")</f>
        <v>#N/A</v>
      </c>
      <c r="C71" s="9" t="s">
        <v>208</v>
      </c>
      <c r="E71" s="8" t="s">
        <v>207</v>
      </c>
      <c r="I71" s="10"/>
      <c r="J71" s="11"/>
    </row>
    <row r="72" spans="1:10" ht="14.4">
      <c r="A72" s="6" t="s">
        <v>206</v>
      </c>
      <c r="B72" s="12" t="str">
        <f ca="1">IFERROR(__xludf.DUMMYFUNCTION("Hyperlink($F83, IMPORTXML($F83,""//title""))"),"#N/A")</f>
        <v>#N/A</v>
      </c>
      <c r="C72" s="9" t="s">
        <v>210</v>
      </c>
      <c r="E72" s="8" t="s">
        <v>209</v>
      </c>
      <c r="I72" s="10"/>
      <c r="J72" s="11"/>
    </row>
    <row r="73" spans="1:10" ht="14.4">
      <c r="A73" s="6" t="s">
        <v>206</v>
      </c>
      <c r="B73" s="12" t="str">
        <f ca="1">IFERROR(__xludf.DUMMYFUNCTION("Hyperlink($F84, IMPORTXML($F84,""//title""))"),"#N/A")</f>
        <v>#N/A</v>
      </c>
      <c r="C73" s="9" t="s">
        <v>212</v>
      </c>
      <c r="E73" s="8" t="s">
        <v>211</v>
      </c>
      <c r="I73" s="10"/>
      <c r="J73" s="11"/>
    </row>
    <row r="74" spans="1:10" ht="14.4">
      <c r="A74" s="6" t="s">
        <v>206</v>
      </c>
      <c r="B74" s="12" t="str">
        <f ca="1">IFERROR(__xludf.DUMMYFUNCTION("Hyperlink($F85, IMPORTXML($F85,""//title""))"),"#N/A")</f>
        <v>#N/A</v>
      </c>
      <c r="C74" s="9" t="s">
        <v>214</v>
      </c>
      <c r="E74" s="8" t="s">
        <v>213</v>
      </c>
      <c r="I74" s="10"/>
      <c r="J74" s="11"/>
    </row>
    <row r="75" spans="1:10" ht="14.4">
      <c r="A75" s="6" t="s">
        <v>206</v>
      </c>
      <c r="B75" s="12" t="str">
        <f ca="1">IFERROR(__xludf.DUMMYFUNCTION("Hyperlink($F86, IMPORTXML($F86,""//title""))"),"#N/A")</f>
        <v>#N/A</v>
      </c>
      <c r="C75" s="9" t="s">
        <v>216</v>
      </c>
      <c r="E75" s="8" t="s">
        <v>215</v>
      </c>
      <c r="I75" s="10"/>
      <c r="J75" s="11"/>
    </row>
    <row r="76" spans="1:10" ht="14.4">
      <c r="A76" s="6" t="s">
        <v>206</v>
      </c>
      <c r="B76" s="12" t="str">
        <f ca="1">IFERROR(__xludf.DUMMYFUNCTION("Hyperlink($F87, IMPORTXML($F87,""//title""))"),"#N/A")</f>
        <v>#N/A</v>
      </c>
      <c r="C76" s="9" t="s">
        <v>218</v>
      </c>
      <c r="E76" s="8" t="s">
        <v>217</v>
      </c>
      <c r="I76" s="10"/>
      <c r="J76" s="11"/>
    </row>
    <row r="77" spans="1:10" ht="14.4">
      <c r="A77" s="6" t="s">
        <v>206</v>
      </c>
      <c r="B77" s="12" t="str">
        <f ca="1">IFERROR(__xludf.DUMMYFUNCTION("Hyperlink($F88, IMPORTXML($F88,""//title""))"),"#N/A")</f>
        <v>#N/A</v>
      </c>
      <c r="C77" s="9" t="s">
        <v>220</v>
      </c>
      <c r="E77" s="8" t="s">
        <v>219</v>
      </c>
      <c r="I77" s="10"/>
      <c r="J77" s="11"/>
    </row>
    <row r="78" spans="1:10" ht="14.4">
      <c r="A78" s="6" t="s">
        <v>206</v>
      </c>
      <c r="B78" s="12" t="str">
        <f ca="1">IFERROR(__xludf.DUMMYFUNCTION("Hyperlink($F89, IMPORTXML($F89,""//title""))"),"#N/A")</f>
        <v>#N/A</v>
      </c>
      <c r="C78" s="9" t="s">
        <v>222</v>
      </c>
      <c r="E78" s="8" t="s">
        <v>221</v>
      </c>
      <c r="I78" s="10"/>
      <c r="J78" s="11"/>
    </row>
    <row r="79" spans="1:10" ht="14.4">
      <c r="A79" s="6" t="s">
        <v>206</v>
      </c>
      <c r="B79" s="12" t="str">
        <f ca="1">IFERROR(__xludf.DUMMYFUNCTION("Hyperlink($F90, IMPORTXML($F90,""//title""))"),"#N/A")</f>
        <v>#N/A</v>
      </c>
      <c r="C79" s="9" t="s">
        <v>224</v>
      </c>
      <c r="E79" s="8" t="s">
        <v>223</v>
      </c>
      <c r="I79" s="10"/>
      <c r="J79" s="11"/>
    </row>
    <row r="80" spans="1:10" ht="14.4">
      <c r="A80" s="6" t="s">
        <v>206</v>
      </c>
      <c r="B80" s="12" t="str">
        <f ca="1">IFERROR(__xludf.DUMMYFUNCTION("Hyperlink($F91, IMPORTXML($F91,""//title""))"),"#N/A")</f>
        <v>#N/A</v>
      </c>
      <c r="C80" s="9" t="s">
        <v>226</v>
      </c>
      <c r="E80" s="8" t="s">
        <v>225</v>
      </c>
      <c r="I80" s="10"/>
      <c r="J80" s="11"/>
    </row>
    <row r="81" spans="1:10" ht="14.4">
      <c r="A81" s="6" t="s">
        <v>227</v>
      </c>
      <c r="B81" s="7" t="str">
        <f ca="1">IFERROR(__xludf.DUMMYFUNCTION("Hyperlink($F92, IMPORTXML($F92,""//title""))"),"SPACs break 2020 record in just 3 months")</f>
        <v>SPACs break 2020 record in just 3 months</v>
      </c>
      <c r="C81" s="9" t="s">
        <v>229</v>
      </c>
      <c r="E81" s="8" t="s">
        <v>228</v>
      </c>
      <c r="I81" s="10"/>
      <c r="J81" s="11"/>
    </row>
    <row r="82" spans="1:10" ht="14.4">
      <c r="A82" s="6" t="s">
        <v>227</v>
      </c>
      <c r="B82" s="7" t="str">
        <f ca="1">IFERROR(__xludf.DUMMYFUNCTION("Hyperlink($F93, IMPORTXML($F93,""//title""))"),"Climate change: 2020 one of hottest years on record, tied with 2016")</f>
        <v>Climate change: 2020 one of hottest years on record, tied with 2016</v>
      </c>
      <c r="C82" s="9" t="s">
        <v>231</v>
      </c>
      <c r="E82" s="8" t="s">
        <v>230</v>
      </c>
      <c r="I82" s="10"/>
      <c r="J82" s="11"/>
    </row>
    <row r="83" spans="1:10" ht="14.4">
      <c r="A83" s="6" t="s">
        <v>227</v>
      </c>
      <c r="B83" s="7" t="str">
        <f ca="1">IFERROR(__xludf.DUMMYFUNCTION("Hyperlink($F94, IMPORTXML($F94,""//title""))"),"U.S. trade deficit August 2020")</f>
        <v>U.S. trade deficit August 2020</v>
      </c>
      <c r="C83" s="9" t="s">
        <v>233</v>
      </c>
      <c r="E83" s="8" t="s">
        <v>232</v>
      </c>
      <c r="I83" s="10"/>
      <c r="J83" s="11"/>
    </row>
    <row r="84" spans="1:10" ht="14.4">
      <c r="A84" s="6" t="s">
        <v>227</v>
      </c>
      <c r="B84" s="7" t="str">
        <f ca="1">IFERROR(__xludf.DUMMYFUNCTION("Hyperlink($F95, IMPORTXML($F95,""//title""))"),"U.S. Justice Department releases report on Trump attempt to overturn 2020 
election")</f>
        <v>U.S. Justice Department releases report on Trump attempt to overturn 2020 
election</v>
      </c>
      <c r="C84" s="9" t="s">
        <v>235</v>
      </c>
      <c r="E84" s="8" t="s">
        <v>234</v>
      </c>
      <c r="I84" s="10"/>
      <c r="J84" s="11"/>
    </row>
    <row r="85" spans="1:10" ht="14.4">
      <c r="A85" s="6" t="s">
        <v>227</v>
      </c>
      <c r="B85" s="7" t="str">
        <f ca="1">IFERROR(__xludf.DUMMYFUNCTION("Hyperlink($F96, IMPORTXML($F96,""//title""))"),"Meet the 2020 CNBC Disruptor 50 companies")</f>
        <v>Meet the 2020 CNBC Disruptor 50 companies</v>
      </c>
      <c r="C85" s="9" t="s">
        <v>237</v>
      </c>
      <c r="E85" s="8" t="s">
        <v>236</v>
      </c>
      <c r="I85" s="10"/>
      <c r="J85" s="11"/>
    </row>
    <row r="86" spans="1:10" ht="14.4">
      <c r="A86" s="6" t="s">
        <v>227</v>
      </c>
      <c r="B86" s="7" t="str">
        <f ca="1">IFERROR(__xludf.DUMMYFUNCTION("Hyperlink($F97, IMPORTXML($F97,""//title""))"),"Toyota beats Volkswagen to become world's No.1 car seller in 2020")</f>
        <v>Toyota beats Volkswagen to become world's No.1 car seller in 2020</v>
      </c>
      <c r="C86" s="9" t="s">
        <v>239</v>
      </c>
      <c r="E86" s="8" t="s">
        <v>238</v>
      </c>
      <c r="I86" s="10"/>
      <c r="J86" s="11"/>
    </row>
    <row r="87" spans="1:10" ht="14.4">
      <c r="A87" s="6" t="s">
        <v>227</v>
      </c>
      <c r="B87" s="7" t="str">
        <f ca="1">IFERROR(__xludf.DUMMYFUNCTION("Hyperlink($F98, IMPORTXML($F98,""//title""))"),"China economy: release of fourth quarter, full-year 2020 GDP")</f>
        <v>China economy: release of fourth quarter, full-year 2020 GDP</v>
      </c>
      <c r="C87" s="9" t="s">
        <v>241</v>
      </c>
      <c r="E87" s="8" t="s">
        <v>240</v>
      </c>
      <c r="I87" s="10"/>
      <c r="J87" s="11"/>
    </row>
    <row r="88" spans="1:10" ht="14.4">
      <c r="A88" s="6" t="s">
        <v>227</v>
      </c>
      <c r="B88" s="7" t="str">
        <f ca="1">IFERROR(__xludf.DUMMYFUNCTION("Hyperlink($F99, IMPORTXML($F99,""//title""))"),"The Covid recession brought extreme inequality in 2020")</f>
        <v>The Covid recession brought extreme inequality in 2020</v>
      </c>
      <c r="C88" s="9" t="s">
        <v>243</v>
      </c>
      <c r="E88" s="8" t="s">
        <v>242</v>
      </c>
      <c r="I88" s="10"/>
      <c r="J88" s="11"/>
    </row>
    <row r="89" spans="1:10" ht="14.4">
      <c r="A89" s="6" t="s">
        <v>227</v>
      </c>
      <c r="B89" s="7" t="str">
        <f ca="1">IFERROR(__xludf.DUMMYFUNCTION("Hyperlink($F100, IMPORTXML($F100,""//title""))"),"Amazon (AMZN) earnings Q4 2020")</f>
        <v>Amazon (AMZN) earnings Q4 2020</v>
      </c>
      <c r="C89" s="9" t="s">
        <v>245</v>
      </c>
      <c r="E89" s="8" t="s">
        <v>244</v>
      </c>
      <c r="I89" s="10"/>
      <c r="J89" s="11"/>
    </row>
    <row r="90" spans="1:10" ht="14.4">
      <c r="A90" s="6" t="s">
        <v>227</v>
      </c>
      <c r="B90" s="7" t="str">
        <f ca="1">IFERROR(__xludf.DUMMYFUNCTION("Hyperlink($F101, IMPORTXML($F101,""//title""))"),"Covid was third leading cause of death in U.S. in 2020, behind heart 
disease and cancer, CDC says")</f>
        <v>Covid was third leading cause of death in U.S. in 2020, behind heart 
disease and cancer, CDC says</v>
      </c>
      <c r="C90" s="9" t="s">
        <v>247</v>
      </c>
      <c r="E90" s="8" t="s">
        <v>246</v>
      </c>
      <c r="I90" s="10"/>
      <c r="J90" s="11"/>
    </row>
    <row r="91" spans="1:10" ht="409.6">
      <c r="A91" s="6" t="s">
        <v>248</v>
      </c>
      <c r="B91" s="7" t="str">
        <f ca="1">IFERROR(__xludf.DUMMYFUNCTION("Hyperlink($F102, IMPORTXML($F102,""//title""))"),"The 50 Biggest Stories About the Environment in 2020 - Newsweek")</f>
        <v>The 50 Biggest Stories About the Environment in 2020 - Newsweek</v>
      </c>
      <c r="C91" s="9" t="s">
        <v>249</v>
      </c>
      <c r="E91" s="10" t="s">
        <v>252</v>
      </c>
      <c r="I91" s="10"/>
      <c r="J91" s="11"/>
    </row>
    <row r="92" spans="1:10" ht="14.4">
      <c r="A92" s="6" t="s">
        <v>248</v>
      </c>
      <c r="B92" s="7" t="str">
        <f ca="1">IFERROR(__xludf.DUMMYFUNCTION("Hyperlink($F103, IMPORTXML($F103,""//title""))"),"It Can’t Get Any Worse Than 2020. Here’s a 2021 Political... - Newsweek")</f>
        <v>It Can’t Get Any Worse Than 2020. Here’s a 2021 Political... - Newsweek</v>
      </c>
      <c r="C92" s="9" t="s">
        <v>250</v>
      </c>
      <c r="E92" s="8" t="s">
        <v>253</v>
      </c>
      <c r="I92" s="10"/>
      <c r="J92" s="11"/>
    </row>
    <row r="93" spans="1:10" ht="13.2">
      <c r="E93" s="8"/>
      <c r="I93" s="10"/>
      <c r="J93" s="11"/>
    </row>
    <row r="94" spans="1:10" ht="13.2">
      <c r="E94" s="8"/>
      <c r="I94" s="10"/>
      <c r="J94" s="11"/>
    </row>
    <row r="95" spans="1:10" ht="13.2">
      <c r="E95" s="8"/>
      <c r="I95" s="10"/>
      <c r="J95" s="11"/>
    </row>
    <row r="96" spans="1:10" ht="14.4">
      <c r="C96" s="13"/>
      <c r="E96" s="8"/>
      <c r="I96" s="10"/>
      <c r="J96" s="11"/>
    </row>
    <row r="97" spans="3:10" ht="13.2">
      <c r="E97" s="8"/>
      <c r="I97" s="10"/>
      <c r="J97" s="11"/>
    </row>
    <row r="98" spans="3:10" ht="13.2">
      <c r="E98" s="8"/>
      <c r="I98" s="10"/>
      <c r="J98" s="11"/>
    </row>
    <row r="99" spans="3:10" ht="13.2">
      <c r="E99" s="8"/>
      <c r="I99" s="10"/>
      <c r="J99" s="11"/>
    </row>
    <row r="100" spans="3:10" ht="13.2">
      <c r="E100" s="8"/>
      <c r="I100" s="10"/>
      <c r="J100" s="11"/>
    </row>
    <row r="101" spans="3:10" ht="13.2">
      <c r="E101" s="8"/>
      <c r="I101" s="10"/>
      <c r="J101" s="11"/>
    </row>
    <row r="102" spans="3:10" ht="13.2">
      <c r="E102" s="8"/>
      <c r="I102" s="10"/>
      <c r="J102" s="11"/>
    </row>
    <row r="103" spans="3:10" ht="13.2">
      <c r="E103" s="8"/>
      <c r="I103" s="10"/>
      <c r="J103" s="11"/>
    </row>
    <row r="104" spans="3:10" ht="13.2">
      <c r="E104" s="8"/>
      <c r="I104" s="10"/>
      <c r="J104" s="11"/>
    </row>
    <row r="105" spans="3:10" ht="13.2">
      <c r="E105" s="8"/>
      <c r="I105" s="10"/>
      <c r="J105" s="11"/>
    </row>
    <row r="106" spans="3:10" ht="13.2">
      <c r="E106" s="8"/>
      <c r="I106" s="10"/>
      <c r="J106" s="11"/>
    </row>
    <row r="107" spans="3:10" ht="14.4">
      <c r="C107" s="13"/>
      <c r="E107" s="8"/>
      <c r="I107" s="10"/>
      <c r="J107" s="11"/>
    </row>
    <row r="108" spans="3:10" ht="13.2">
      <c r="E108" s="8"/>
      <c r="I108" s="10"/>
      <c r="J108" s="11"/>
    </row>
    <row r="109" spans="3:10" ht="13.2">
      <c r="E109" s="8"/>
      <c r="I109" s="10"/>
      <c r="J109" s="11"/>
    </row>
    <row r="110" spans="3:10" ht="13.2">
      <c r="E110" s="8"/>
      <c r="I110" s="10"/>
      <c r="J110" s="11"/>
    </row>
    <row r="111" spans="3:10" ht="13.2">
      <c r="E111" s="8"/>
      <c r="I111" s="10"/>
      <c r="J111" s="11"/>
    </row>
    <row r="112" spans="3:10" ht="13.2">
      <c r="E112" s="8"/>
      <c r="I112" s="10"/>
      <c r="J112" s="11"/>
    </row>
    <row r="113" spans="3:10" ht="13.2">
      <c r="E113" s="8"/>
      <c r="I113" s="10"/>
      <c r="J113" s="11"/>
    </row>
    <row r="114" spans="3:10" ht="13.2">
      <c r="E114" s="8"/>
      <c r="I114" s="10"/>
      <c r="J114" s="11"/>
    </row>
    <row r="115" spans="3:10" ht="13.2">
      <c r="E115" s="8"/>
      <c r="I115" s="10"/>
      <c r="J115" s="11"/>
    </row>
    <row r="116" spans="3:10" ht="13.2">
      <c r="E116" s="8"/>
      <c r="I116" s="10"/>
      <c r="J116" s="11"/>
    </row>
    <row r="117" spans="3:10" ht="13.2">
      <c r="E117" s="8"/>
      <c r="I117" s="10"/>
      <c r="J117" s="11"/>
    </row>
    <row r="118" spans="3:10" ht="14.4">
      <c r="C118" s="13"/>
      <c r="E118" s="8"/>
      <c r="I118" s="10"/>
      <c r="J118" s="11"/>
    </row>
    <row r="119" spans="3:10" ht="14.4">
      <c r="C119" s="13"/>
      <c r="E119" s="8"/>
      <c r="I119" s="10"/>
      <c r="J119" s="11"/>
    </row>
    <row r="120" spans="3:10" ht="14.4">
      <c r="C120" s="13"/>
      <c r="E120" s="8"/>
      <c r="I120" s="10"/>
      <c r="J120" s="11"/>
    </row>
    <row r="121" spans="3:10" ht="14.4">
      <c r="C121" s="13"/>
      <c r="E121" s="8"/>
      <c r="I121" s="10"/>
      <c r="J121" s="11"/>
    </row>
    <row r="122" spans="3:10" ht="14.4">
      <c r="C122" s="13"/>
      <c r="E122" s="8"/>
      <c r="I122" s="10"/>
      <c r="J122" s="11"/>
    </row>
    <row r="123" spans="3:10" ht="14.4">
      <c r="C123" s="13"/>
      <c r="E123" s="8"/>
      <c r="I123" s="10"/>
      <c r="J123" s="11"/>
    </row>
    <row r="124" spans="3:10" ht="14.4">
      <c r="C124" s="13"/>
      <c r="E124" s="8"/>
      <c r="I124" s="10"/>
      <c r="J124" s="11"/>
    </row>
    <row r="125" spans="3:10" ht="14.4">
      <c r="C125" s="13"/>
      <c r="E125" s="8"/>
      <c r="I125" s="10"/>
      <c r="J125" s="11"/>
    </row>
    <row r="126" spans="3:10" ht="14.4">
      <c r="C126" s="13"/>
      <c r="E126" s="8"/>
      <c r="I126" s="10"/>
      <c r="J126" s="11"/>
    </row>
    <row r="127" spans="3:10" ht="14.4">
      <c r="C127" s="13"/>
      <c r="E127" s="8"/>
      <c r="I127" s="10"/>
      <c r="J127" s="11"/>
    </row>
    <row r="128" spans="3:10" ht="14.4">
      <c r="C128" s="13"/>
      <c r="E128" s="8"/>
      <c r="I128" s="10"/>
      <c r="J128" s="11"/>
    </row>
    <row r="129" spans="3:10" ht="14.4">
      <c r="C129" s="13"/>
      <c r="E129" s="8"/>
      <c r="I129" s="10"/>
      <c r="J129" s="11"/>
    </row>
    <row r="130" spans="3:10" ht="14.4">
      <c r="C130" s="13"/>
      <c r="E130" s="8"/>
      <c r="I130" s="10"/>
      <c r="J130" s="11"/>
    </row>
    <row r="131" spans="3:10" ht="14.4">
      <c r="C131" s="13"/>
      <c r="E131" s="8"/>
      <c r="I131" s="10"/>
      <c r="J131" s="11"/>
    </row>
    <row r="132" spans="3:10" ht="14.4">
      <c r="C132" s="13"/>
      <c r="E132" s="8"/>
      <c r="I132" s="10"/>
      <c r="J132" s="11"/>
    </row>
    <row r="133" spans="3:10" ht="14.4">
      <c r="C133" s="13"/>
      <c r="E133" s="8"/>
      <c r="I133" s="10"/>
      <c r="J133" s="11"/>
    </row>
    <row r="134" spans="3:10" ht="14.4">
      <c r="C134" s="13"/>
      <c r="E134" s="8"/>
      <c r="I134" s="10"/>
      <c r="J134" s="11"/>
    </row>
    <row r="135" spans="3:10" ht="14.4">
      <c r="C135" s="13"/>
      <c r="E135" s="8"/>
      <c r="I135" s="10"/>
      <c r="J135" s="11"/>
    </row>
    <row r="136" spans="3:10" ht="14.4">
      <c r="C136" s="13"/>
      <c r="E136" s="8"/>
      <c r="I136" s="10"/>
      <c r="J136" s="11"/>
    </row>
    <row r="137" spans="3:10" ht="14.4">
      <c r="C137" s="13"/>
      <c r="E137" s="8"/>
      <c r="I137" s="10"/>
      <c r="J137" s="11"/>
    </row>
    <row r="138" spans="3:10" ht="14.4">
      <c r="C138" s="13"/>
      <c r="E138" s="8"/>
      <c r="I138" s="10"/>
      <c r="J138" s="11"/>
    </row>
    <row r="139" spans="3:10" ht="14.4">
      <c r="C139" s="13"/>
      <c r="E139" s="8"/>
      <c r="I139" s="10"/>
      <c r="J139" s="11"/>
    </row>
    <row r="140" spans="3:10" ht="13.2">
      <c r="E140" s="8"/>
    </row>
    <row r="141" spans="3:10" ht="13.2">
      <c r="E141" s="8"/>
    </row>
    <row r="142" spans="3:10" ht="13.2">
      <c r="E142" s="8"/>
    </row>
    <row r="143" spans="3:10" ht="13.2">
      <c r="E143" s="8"/>
    </row>
    <row r="144" spans="3:10" ht="13.2">
      <c r="E144" s="8"/>
    </row>
    <row r="145" spans="5:5" ht="13.2">
      <c r="E145" s="8"/>
    </row>
    <row r="146" spans="5:5" ht="13.2">
      <c r="E146" s="8"/>
    </row>
    <row r="147" spans="5:5" ht="13.2">
      <c r="E147" s="8"/>
    </row>
    <row r="148" spans="5:5" ht="13.2">
      <c r="E148" s="8"/>
    </row>
    <row r="149" spans="5:5" ht="13.2">
      <c r="E149" s="8"/>
    </row>
    <row r="150" spans="5:5" ht="13.2">
      <c r="E150" s="8"/>
    </row>
    <row r="151" spans="5:5" ht="13.2">
      <c r="E151" s="8"/>
    </row>
    <row r="152" spans="5:5" ht="13.2">
      <c r="E152" s="8"/>
    </row>
    <row r="153" spans="5:5" ht="13.2">
      <c r="E153" s="8"/>
    </row>
    <row r="154" spans="5:5" ht="13.2">
      <c r="E154" s="8"/>
    </row>
    <row r="155" spans="5:5" ht="13.2">
      <c r="E155" s="8"/>
    </row>
    <row r="156" spans="5:5" ht="13.2">
      <c r="E156" s="8"/>
    </row>
    <row r="157" spans="5:5" ht="13.2">
      <c r="E157" s="8"/>
    </row>
    <row r="158" spans="5:5" ht="13.2">
      <c r="E158" s="8"/>
    </row>
    <row r="159" spans="5:5" ht="13.2">
      <c r="E159" s="8"/>
    </row>
    <row r="160" spans="5:5" ht="13.2">
      <c r="E160" s="8"/>
    </row>
    <row r="161" spans="5:5" ht="13.2">
      <c r="E161" s="8"/>
    </row>
    <row r="162" spans="5:5" ht="13.2">
      <c r="E162" s="8"/>
    </row>
    <row r="163" spans="5:5" ht="13.2">
      <c r="E163" s="8"/>
    </row>
    <row r="164" spans="5:5" ht="13.2">
      <c r="E164" s="8"/>
    </row>
    <row r="165" spans="5:5" ht="13.2">
      <c r="E165" s="8"/>
    </row>
    <row r="166" spans="5:5" ht="13.2">
      <c r="E166" s="8"/>
    </row>
    <row r="167" spans="5:5" ht="13.2">
      <c r="E167" s="8"/>
    </row>
    <row r="168" spans="5:5" ht="13.2">
      <c r="E168" s="8"/>
    </row>
    <row r="169" spans="5:5" ht="13.2">
      <c r="E169" s="8"/>
    </row>
    <row r="170" spans="5:5" ht="13.2">
      <c r="E170" s="8"/>
    </row>
    <row r="171" spans="5:5" ht="13.2">
      <c r="E171" s="8"/>
    </row>
    <row r="172" spans="5:5" ht="13.2">
      <c r="E172" s="8"/>
    </row>
    <row r="173" spans="5:5" ht="13.2">
      <c r="E173" s="8"/>
    </row>
    <row r="174" spans="5:5" ht="13.2">
      <c r="E174" s="8"/>
    </row>
    <row r="175" spans="5:5" ht="13.2">
      <c r="E175" s="8"/>
    </row>
    <row r="176" spans="5:5" ht="13.2">
      <c r="E176" s="8"/>
    </row>
    <row r="177" spans="5:5" ht="13.2">
      <c r="E177" s="8"/>
    </row>
    <row r="178" spans="5:5" ht="13.2">
      <c r="E178" s="8"/>
    </row>
    <row r="179" spans="5:5" ht="13.2">
      <c r="E179" s="8"/>
    </row>
    <row r="180" spans="5:5" ht="13.2">
      <c r="E180" s="8"/>
    </row>
    <row r="181" spans="5:5" ht="13.2">
      <c r="E181" s="8"/>
    </row>
    <row r="182" spans="5:5" ht="13.2">
      <c r="E182" s="8"/>
    </row>
    <row r="183" spans="5:5" ht="13.2">
      <c r="E183" s="8"/>
    </row>
    <row r="184" spans="5:5" ht="13.2">
      <c r="E184" s="8"/>
    </row>
    <row r="185" spans="5:5" ht="13.2">
      <c r="E185" s="8"/>
    </row>
    <row r="186" spans="5:5" ht="13.2">
      <c r="E186" s="8"/>
    </row>
    <row r="187" spans="5:5" ht="13.2">
      <c r="E187" s="8"/>
    </row>
    <row r="188" spans="5:5" ht="13.2">
      <c r="E188" s="8"/>
    </row>
    <row r="189" spans="5:5" ht="13.2">
      <c r="E189" s="8"/>
    </row>
    <row r="190" spans="5:5" ht="13.2">
      <c r="E190" s="8"/>
    </row>
    <row r="191" spans="5:5" ht="13.2">
      <c r="E191" s="8"/>
    </row>
    <row r="192" spans="5:5" ht="13.2">
      <c r="E192" s="8"/>
    </row>
    <row r="193" spans="5:5" ht="13.2">
      <c r="E193" s="8"/>
    </row>
    <row r="194" spans="5:5" ht="13.2">
      <c r="E194" s="8"/>
    </row>
    <row r="195" spans="5:5" ht="13.2">
      <c r="E195" s="8"/>
    </row>
    <row r="196" spans="5:5" ht="13.2">
      <c r="E196" s="8"/>
    </row>
    <row r="197" spans="5:5" ht="13.2">
      <c r="E197" s="8"/>
    </row>
    <row r="198" spans="5:5" ht="13.2">
      <c r="E198" s="8"/>
    </row>
    <row r="199" spans="5:5" ht="13.2">
      <c r="E199" s="8"/>
    </row>
    <row r="200" spans="5:5" ht="13.2">
      <c r="E200" s="8"/>
    </row>
    <row r="201" spans="5:5" ht="13.2">
      <c r="E201" s="8"/>
    </row>
    <row r="202" spans="5:5" ht="13.2">
      <c r="E202" s="8"/>
    </row>
    <row r="203" spans="5:5" ht="13.2">
      <c r="E203" s="8"/>
    </row>
    <row r="204" spans="5:5" ht="13.2">
      <c r="E204" s="8"/>
    </row>
    <row r="205" spans="5:5" ht="13.2">
      <c r="E205" s="8"/>
    </row>
    <row r="206" spans="5:5" ht="13.2">
      <c r="E206" s="8"/>
    </row>
    <row r="207" spans="5:5" ht="13.2">
      <c r="E207" s="8"/>
    </row>
    <row r="208" spans="5:5" ht="13.2">
      <c r="E208" s="8"/>
    </row>
    <row r="209" spans="5:5" ht="13.2">
      <c r="E209" s="8"/>
    </row>
    <row r="210" spans="5:5" ht="13.2">
      <c r="E210" s="8"/>
    </row>
    <row r="211" spans="5:5" ht="13.2">
      <c r="E211" s="8"/>
    </row>
    <row r="212" spans="5:5" ht="13.2">
      <c r="E212" s="8"/>
    </row>
    <row r="213" spans="5:5" ht="13.2">
      <c r="E213" s="8"/>
    </row>
    <row r="214" spans="5:5" ht="13.2">
      <c r="E214" s="8"/>
    </row>
    <row r="215" spans="5:5" ht="13.2">
      <c r="E215" s="8"/>
    </row>
    <row r="216" spans="5:5" ht="13.2">
      <c r="E216" s="8"/>
    </row>
    <row r="217" spans="5:5" ht="13.2">
      <c r="E217" s="8"/>
    </row>
    <row r="218" spans="5:5" ht="13.2">
      <c r="E218" s="8"/>
    </row>
    <row r="219" spans="5:5" ht="13.2">
      <c r="E219" s="8"/>
    </row>
    <row r="220" spans="5:5" ht="13.2">
      <c r="E220" s="8"/>
    </row>
    <row r="221" spans="5:5" ht="13.2">
      <c r="E221" s="8"/>
    </row>
    <row r="222" spans="5:5" ht="13.2">
      <c r="E222" s="8"/>
    </row>
    <row r="223" spans="5:5" ht="13.2">
      <c r="E223" s="8"/>
    </row>
    <row r="224" spans="5:5" ht="13.2">
      <c r="E224" s="8"/>
    </row>
    <row r="225" spans="5:5" ht="13.2">
      <c r="E225" s="8"/>
    </row>
    <row r="226" spans="5:5" ht="13.2">
      <c r="E226" s="8"/>
    </row>
    <row r="227" spans="5:5" ht="13.2">
      <c r="E227" s="8"/>
    </row>
    <row r="228" spans="5:5" ht="13.2">
      <c r="E228" s="8"/>
    </row>
    <row r="229" spans="5:5" ht="13.2">
      <c r="E229" s="8"/>
    </row>
    <row r="230" spans="5:5" ht="13.2">
      <c r="E230" s="8"/>
    </row>
    <row r="231" spans="5:5" ht="13.2">
      <c r="E231" s="8"/>
    </row>
    <row r="232" spans="5:5" ht="13.2">
      <c r="E232" s="8"/>
    </row>
    <row r="233" spans="5:5" ht="13.2">
      <c r="E233" s="8"/>
    </row>
    <row r="234" spans="5:5" ht="13.2">
      <c r="E234" s="8"/>
    </row>
    <row r="235" spans="5:5" ht="13.2">
      <c r="E235" s="8"/>
    </row>
    <row r="236" spans="5:5" ht="13.2">
      <c r="E236" s="8"/>
    </row>
    <row r="237" spans="5:5" ht="13.2">
      <c r="E237" s="8"/>
    </row>
    <row r="238" spans="5:5" ht="13.2">
      <c r="E238" s="8"/>
    </row>
    <row r="239" spans="5:5" ht="13.2">
      <c r="E239" s="8"/>
    </row>
    <row r="240" spans="5:5" ht="13.2">
      <c r="E240" s="8"/>
    </row>
    <row r="241" spans="5:5" ht="13.2">
      <c r="E241" s="8"/>
    </row>
    <row r="242" spans="5:5" ht="13.2">
      <c r="E242" s="8"/>
    </row>
    <row r="243" spans="5:5" ht="13.2">
      <c r="E243" s="8"/>
    </row>
    <row r="244" spans="5:5" ht="13.2">
      <c r="E244" s="8"/>
    </row>
    <row r="245" spans="5:5" ht="13.2">
      <c r="E245" s="8"/>
    </row>
    <row r="246" spans="5:5" ht="13.2">
      <c r="E246" s="8"/>
    </row>
    <row r="247" spans="5:5" ht="13.2">
      <c r="E247" s="8"/>
    </row>
    <row r="248" spans="5:5" ht="13.2">
      <c r="E248" s="8"/>
    </row>
    <row r="249" spans="5:5" ht="13.2">
      <c r="E249" s="8"/>
    </row>
    <row r="250" spans="5:5" ht="13.2">
      <c r="E250" s="8"/>
    </row>
    <row r="251" spans="5:5" ht="13.2">
      <c r="E251" s="8"/>
    </row>
    <row r="252" spans="5:5" ht="13.2">
      <c r="E252" s="8"/>
    </row>
    <row r="253" spans="5:5" ht="13.2">
      <c r="E253" s="8"/>
    </row>
    <row r="254" spans="5:5" ht="13.2">
      <c r="E254" s="8"/>
    </row>
    <row r="255" spans="5:5" ht="13.2">
      <c r="E255" s="8"/>
    </row>
    <row r="256" spans="5:5" ht="13.2">
      <c r="E256" s="8"/>
    </row>
    <row r="257" spans="5:5" ht="13.2">
      <c r="E257" s="8"/>
    </row>
    <row r="258" spans="5:5" ht="13.2">
      <c r="E258" s="8"/>
    </row>
    <row r="259" spans="5:5" ht="13.2">
      <c r="E259" s="8"/>
    </row>
    <row r="260" spans="5:5" ht="13.2">
      <c r="E260" s="8"/>
    </row>
    <row r="261" spans="5:5" ht="13.2">
      <c r="E261" s="8"/>
    </row>
    <row r="262" spans="5:5" ht="13.2">
      <c r="E262" s="8"/>
    </row>
    <row r="263" spans="5:5" ht="13.2">
      <c r="E263" s="8"/>
    </row>
    <row r="264" spans="5:5" ht="13.2">
      <c r="E264" s="8"/>
    </row>
    <row r="265" spans="5:5" ht="13.2">
      <c r="E265" s="8"/>
    </row>
    <row r="266" spans="5:5" ht="13.2">
      <c r="E266" s="8"/>
    </row>
    <row r="267" spans="5:5" ht="13.2">
      <c r="E267" s="8"/>
    </row>
    <row r="268" spans="5:5" ht="13.2">
      <c r="E268" s="8"/>
    </row>
    <row r="269" spans="5:5" ht="13.2">
      <c r="E269" s="8"/>
    </row>
    <row r="270" spans="5:5" ht="13.2">
      <c r="E270" s="8"/>
    </row>
    <row r="271" spans="5:5" ht="13.2">
      <c r="E271" s="8"/>
    </row>
    <row r="272" spans="5:5" ht="13.2">
      <c r="E272" s="8"/>
    </row>
    <row r="273" spans="5:5" ht="13.2">
      <c r="E273" s="8"/>
    </row>
    <row r="274" spans="5:5" ht="13.2">
      <c r="E274" s="8"/>
    </row>
    <row r="275" spans="5:5" ht="13.2">
      <c r="E275" s="8"/>
    </row>
    <row r="276" spans="5:5" ht="13.2">
      <c r="E276" s="8"/>
    </row>
    <row r="277" spans="5:5" ht="13.2">
      <c r="E277" s="8"/>
    </row>
    <row r="278" spans="5:5" ht="13.2">
      <c r="E278" s="8"/>
    </row>
    <row r="279" spans="5:5" ht="13.2">
      <c r="E279" s="8"/>
    </row>
    <row r="280" spans="5:5" ht="13.2">
      <c r="E280" s="8"/>
    </row>
    <row r="281" spans="5:5" ht="13.2">
      <c r="E281" s="8"/>
    </row>
    <row r="282" spans="5:5" ht="13.2">
      <c r="E282" s="8"/>
    </row>
    <row r="283" spans="5:5" ht="13.2">
      <c r="E283" s="8"/>
    </row>
    <row r="284" spans="5:5" ht="13.2">
      <c r="E284" s="8"/>
    </row>
    <row r="285" spans="5:5" ht="13.2">
      <c r="E285" s="8"/>
    </row>
    <row r="286" spans="5:5" ht="13.2">
      <c r="E286" s="8"/>
    </row>
    <row r="287" spans="5:5" ht="13.2">
      <c r="E287" s="8"/>
    </row>
    <row r="288" spans="5:5" ht="13.2">
      <c r="E288" s="8"/>
    </row>
    <row r="289" spans="5:5" ht="13.2">
      <c r="E289" s="8"/>
    </row>
    <row r="290" spans="5:5" ht="13.2">
      <c r="E290" s="8"/>
    </row>
    <row r="291" spans="5:5" ht="13.2">
      <c r="E291" s="8"/>
    </row>
    <row r="292" spans="5:5" ht="13.2">
      <c r="E292" s="8"/>
    </row>
    <row r="293" spans="5:5" ht="13.2">
      <c r="E293" s="8"/>
    </row>
    <row r="294" spans="5:5" ht="13.2">
      <c r="E294" s="8"/>
    </row>
    <row r="295" spans="5:5" ht="13.2">
      <c r="E295" s="8"/>
    </row>
    <row r="296" spans="5:5" ht="13.2">
      <c r="E296" s="8"/>
    </row>
    <row r="297" spans="5:5" ht="13.2">
      <c r="E297" s="8"/>
    </row>
    <row r="298" spans="5:5" ht="13.2">
      <c r="E298" s="8"/>
    </row>
    <row r="299" spans="5:5" ht="13.2">
      <c r="E299" s="8"/>
    </row>
    <row r="300" spans="5:5" ht="13.2">
      <c r="E300" s="8"/>
    </row>
    <row r="301" spans="5:5" ht="13.2">
      <c r="E301" s="8"/>
    </row>
    <row r="302" spans="5:5" ht="13.2">
      <c r="E302" s="8"/>
    </row>
    <row r="303" spans="5:5" ht="13.2">
      <c r="E303" s="8"/>
    </row>
    <row r="304" spans="5:5" ht="13.2">
      <c r="E304" s="8"/>
    </row>
    <row r="305" spans="5:5" ht="13.2">
      <c r="E305" s="8"/>
    </row>
    <row r="306" spans="5:5" ht="13.2">
      <c r="E306" s="8"/>
    </row>
    <row r="307" spans="5:5" ht="13.2">
      <c r="E307" s="8"/>
    </row>
    <row r="308" spans="5:5" ht="13.2">
      <c r="E308" s="8"/>
    </row>
    <row r="309" spans="5:5" ht="13.2">
      <c r="E309" s="8"/>
    </row>
    <row r="310" spans="5:5" ht="13.2">
      <c r="E310" s="8"/>
    </row>
    <row r="311" spans="5:5" ht="13.2">
      <c r="E311" s="8"/>
    </row>
    <row r="312" spans="5:5" ht="13.2">
      <c r="E312" s="8"/>
    </row>
    <row r="313" spans="5:5" ht="13.2">
      <c r="E313" s="8"/>
    </row>
    <row r="314" spans="5:5" ht="13.2">
      <c r="E314" s="8"/>
    </row>
    <row r="315" spans="5:5" ht="13.2">
      <c r="E315" s="8"/>
    </row>
    <row r="316" spans="5:5" ht="13.2">
      <c r="E316" s="8"/>
    </row>
    <row r="317" spans="5:5" ht="13.2">
      <c r="E317" s="8"/>
    </row>
    <row r="318" spans="5:5" ht="13.2">
      <c r="E318" s="8"/>
    </row>
    <row r="319" spans="5:5" ht="13.2">
      <c r="E319" s="8"/>
    </row>
    <row r="320" spans="5:5" ht="13.2">
      <c r="E320" s="8"/>
    </row>
    <row r="321" spans="5:5" ht="13.2">
      <c r="E321" s="8"/>
    </row>
    <row r="322" spans="5:5" ht="13.2">
      <c r="E322" s="8"/>
    </row>
    <row r="323" spans="5:5" ht="13.2">
      <c r="E323" s="8"/>
    </row>
    <row r="324" spans="5:5" ht="13.2">
      <c r="E324" s="8"/>
    </row>
    <row r="325" spans="5:5" ht="13.2">
      <c r="E325" s="8"/>
    </row>
    <row r="326" spans="5:5" ht="13.2">
      <c r="E326" s="8"/>
    </row>
    <row r="327" spans="5:5" ht="13.2">
      <c r="E327" s="8"/>
    </row>
    <row r="328" spans="5:5" ht="13.2">
      <c r="E328" s="8"/>
    </row>
    <row r="329" spans="5:5" ht="13.2">
      <c r="E329" s="8"/>
    </row>
    <row r="330" spans="5:5" ht="13.2">
      <c r="E330" s="8"/>
    </row>
    <row r="331" spans="5:5" ht="13.2">
      <c r="E331" s="8"/>
    </row>
    <row r="332" spans="5:5" ht="13.2">
      <c r="E332" s="8"/>
    </row>
    <row r="333" spans="5:5" ht="13.2">
      <c r="E333" s="8"/>
    </row>
    <row r="334" spans="5:5" ht="13.2">
      <c r="E334" s="8"/>
    </row>
    <row r="335" spans="5:5" ht="13.2">
      <c r="E335" s="8"/>
    </row>
    <row r="336" spans="5:5" ht="13.2">
      <c r="E336" s="8"/>
    </row>
    <row r="337" spans="5:5" ht="13.2">
      <c r="E337" s="8"/>
    </row>
    <row r="338" spans="5:5" ht="13.2">
      <c r="E338" s="8"/>
    </row>
    <row r="339" spans="5:5" ht="13.2">
      <c r="E339" s="8"/>
    </row>
    <row r="340" spans="5:5" ht="13.2">
      <c r="E340" s="8"/>
    </row>
    <row r="341" spans="5:5" ht="13.2">
      <c r="E341" s="8"/>
    </row>
    <row r="342" spans="5:5" ht="13.2">
      <c r="E342" s="8"/>
    </row>
    <row r="343" spans="5:5" ht="13.2">
      <c r="E343" s="8"/>
    </row>
    <row r="344" spans="5:5" ht="13.2">
      <c r="E344" s="8"/>
    </row>
    <row r="345" spans="5:5" ht="13.2">
      <c r="E345" s="8"/>
    </row>
    <row r="346" spans="5:5" ht="13.2">
      <c r="E346" s="8"/>
    </row>
    <row r="347" spans="5:5" ht="13.2">
      <c r="E347" s="8"/>
    </row>
    <row r="348" spans="5:5" ht="13.2">
      <c r="E348" s="8"/>
    </row>
    <row r="349" spans="5:5" ht="13.2">
      <c r="E349" s="8"/>
    </row>
    <row r="350" spans="5:5" ht="13.2">
      <c r="E350" s="8"/>
    </row>
    <row r="351" spans="5:5" ht="13.2">
      <c r="E351" s="8"/>
    </row>
    <row r="352" spans="5:5" ht="13.2">
      <c r="E352" s="8"/>
    </row>
    <row r="353" spans="5:5" ht="13.2">
      <c r="E353" s="8"/>
    </row>
    <row r="354" spans="5:5" ht="13.2">
      <c r="E354" s="8"/>
    </row>
    <row r="355" spans="5:5" ht="13.2">
      <c r="E355" s="8"/>
    </row>
    <row r="356" spans="5:5" ht="13.2">
      <c r="E356" s="8"/>
    </row>
    <row r="357" spans="5:5" ht="13.2">
      <c r="E357" s="8"/>
    </row>
    <row r="358" spans="5:5" ht="13.2">
      <c r="E358" s="8"/>
    </row>
    <row r="359" spans="5:5" ht="13.2">
      <c r="E359" s="8"/>
    </row>
    <row r="360" spans="5:5" ht="13.2">
      <c r="E360" s="8"/>
    </row>
    <row r="361" spans="5:5" ht="13.2">
      <c r="E361" s="8"/>
    </row>
    <row r="362" spans="5:5" ht="13.2">
      <c r="E362" s="8"/>
    </row>
    <row r="363" spans="5:5" ht="13.2">
      <c r="E363" s="8"/>
    </row>
    <row r="364" spans="5:5" ht="13.2">
      <c r="E364" s="8"/>
    </row>
    <row r="365" spans="5:5" ht="13.2">
      <c r="E365" s="8"/>
    </row>
    <row r="366" spans="5:5" ht="13.2">
      <c r="E366" s="8"/>
    </row>
    <row r="367" spans="5:5" ht="13.2">
      <c r="E367" s="8"/>
    </row>
    <row r="368" spans="5:5" ht="13.2">
      <c r="E368" s="8"/>
    </row>
    <row r="369" spans="5:5" ht="13.2">
      <c r="E369" s="8"/>
    </row>
    <row r="370" spans="5:5" ht="13.2">
      <c r="E370" s="8"/>
    </row>
    <row r="371" spans="5:5" ht="13.2">
      <c r="E371" s="8"/>
    </row>
    <row r="372" spans="5:5" ht="13.2">
      <c r="E372" s="8"/>
    </row>
    <row r="373" spans="5:5" ht="13.2">
      <c r="E373" s="8"/>
    </row>
    <row r="374" spans="5:5" ht="13.2">
      <c r="E374" s="8"/>
    </row>
    <row r="375" spans="5:5" ht="13.2">
      <c r="E375" s="8"/>
    </row>
    <row r="376" spans="5:5" ht="13.2">
      <c r="E376" s="8"/>
    </row>
    <row r="377" spans="5:5" ht="13.2">
      <c r="E377" s="8"/>
    </row>
    <row r="378" spans="5:5" ht="13.2">
      <c r="E378" s="8"/>
    </row>
    <row r="379" spans="5:5" ht="13.2">
      <c r="E379" s="8"/>
    </row>
    <row r="380" spans="5:5" ht="13.2">
      <c r="E380" s="8"/>
    </row>
    <row r="381" spans="5:5" ht="13.2">
      <c r="E381" s="8"/>
    </row>
    <row r="382" spans="5:5" ht="13.2">
      <c r="E382" s="8"/>
    </row>
    <row r="383" spans="5:5" ht="13.2">
      <c r="E383" s="8"/>
    </row>
    <row r="384" spans="5:5" ht="13.2">
      <c r="E384" s="8"/>
    </row>
    <row r="385" spans="5:5" ht="13.2">
      <c r="E385" s="8"/>
    </row>
    <row r="386" spans="5:5" ht="13.2">
      <c r="E386" s="8"/>
    </row>
    <row r="387" spans="5:5" ht="13.2">
      <c r="E387" s="8"/>
    </row>
    <row r="388" spans="5:5" ht="13.2">
      <c r="E388" s="8"/>
    </row>
    <row r="389" spans="5:5" ht="13.2">
      <c r="E389" s="8"/>
    </row>
    <row r="390" spans="5:5" ht="13.2">
      <c r="E390" s="8"/>
    </row>
    <row r="391" spans="5:5" ht="13.2">
      <c r="E391" s="8"/>
    </row>
    <row r="392" spans="5:5" ht="13.2">
      <c r="E392" s="8"/>
    </row>
    <row r="393" spans="5:5" ht="13.2">
      <c r="E393" s="8"/>
    </row>
    <row r="394" spans="5:5" ht="13.2">
      <c r="E394" s="8"/>
    </row>
    <row r="395" spans="5:5" ht="13.2">
      <c r="E395" s="8"/>
    </row>
    <row r="396" spans="5:5" ht="13.2">
      <c r="E396" s="8"/>
    </row>
    <row r="397" spans="5:5" ht="13.2">
      <c r="E397" s="8"/>
    </row>
    <row r="398" spans="5:5" ht="13.2">
      <c r="E398" s="8"/>
    </row>
    <row r="399" spans="5:5" ht="13.2">
      <c r="E399" s="8"/>
    </row>
    <row r="400" spans="5:5" ht="13.2">
      <c r="E400" s="8"/>
    </row>
    <row r="401" spans="5:5" ht="13.2">
      <c r="E401" s="8"/>
    </row>
    <row r="402" spans="5:5" ht="13.2">
      <c r="E402" s="8"/>
    </row>
    <row r="403" spans="5:5" ht="13.2">
      <c r="E403" s="8"/>
    </row>
    <row r="404" spans="5:5" ht="13.2">
      <c r="E404" s="8"/>
    </row>
    <row r="405" spans="5:5" ht="13.2">
      <c r="E405" s="8"/>
    </row>
    <row r="406" spans="5:5" ht="13.2">
      <c r="E406" s="8"/>
    </row>
    <row r="407" spans="5:5" ht="13.2">
      <c r="E407" s="8"/>
    </row>
    <row r="408" spans="5:5" ht="13.2">
      <c r="E408" s="8"/>
    </row>
    <row r="409" spans="5:5" ht="13.2">
      <c r="E409" s="8"/>
    </row>
    <row r="410" spans="5:5" ht="13.2">
      <c r="E410" s="8"/>
    </row>
    <row r="411" spans="5:5" ht="13.2">
      <c r="E411" s="8"/>
    </row>
    <row r="412" spans="5:5" ht="13.2">
      <c r="E412" s="8"/>
    </row>
    <row r="413" spans="5:5" ht="13.2">
      <c r="E413" s="8"/>
    </row>
    <row r="414" spans="5:5" ht="13.2">
      <c r="E414" s="8"/>
    </row>
    <row r="415" spans="5:5" ht="13.2">
      <c r="E415" s="8"/>
    </row>
    <row r="416" spans="5:5" ht="13.2">
      <c r="E416" s="8"/>
    </row>
    <row r="417" spans="5:5" ht="13.2">
      <c r="E417" s="8"/>
    </row>
    <row r="418" spans="5:5" ht="13.2">
      <c r="E418" s="8"/>
    </row>
    <row r="419" spans="5:5" ht="13.2">
      <c r="E419" s="8"/>
    </row>
    <row r="420" spans="5:5" ht="13.2">
      <c r="E420" s="8"/>
    </row>
    <row r="421" spans="5:5" ht="13.2">
      <c r="E421" s="8"/>
    </row>
    <row r="422" spans="5:5" ht="13.2">
      <c r="E422" s="8"/>
    </row>
    <row r="423" spans="5:5" ht="13.2">
      <c r="E423" s="8"/>
    </row>
    <row r="424" spans="5:5" ht="13.2">
      <c r="E424" s="8"/>
    </row>
    <row r="425" spans="5:5" ht="13.2">
      <c r="E425" s="8"/>
    </row>
    <row r="426" spans="5:5" ht="13.2">
      <c r="E426" s="8"/>
    </row>
    <row r="427" spans="5:5" ht="13.2">
      <c r="E427" s="8"/>
    </row>
    <row r="428" spans="5:5" ht="13.2">
      <c r="E428" s="8"/>
    </row>
    <row r="429" spans="5:5" ht="13.2">
      <c r="E429" s="8"/>
    </row>
    <row r="430" spans="5:5" ht="13.2">
      <c r="E430" s="8"/>
    </row>
    <row r="431" spans="5:5" ht="13.2">
      <c r="E431" s="8"/>
    </row>
    <row r="432" spans="5:5" ht="13.2">
      <c r="E432" s="8"/>
    </row>
    <row r="433" spans="5:5" ht="13.2">
      <c r="E433" s="8"/>
    </row>
    <row r="434" spans="5:5" ht="13.2">
      <c r="E434" s="8"/>
    </row>
    <row r="435" spans="5:5" ht="13.2">
      <c r="E435" s="8"/>
    </row>
    <row r="436" spans="5:5" ht="13.2">
      <c r="E436" s="8"/>
    </row>
    <row r="437" spans="5:5" ht="13.2">
      <c r="E437" s="8"/>
    </row>
    <row r="438" spans="5:5" ht="13.2">
      <c r="E438" s="8"/>
    </row>
    <row r="439" spans="5:5" ht="13.2">
      <c r="E439" s="8"/>
    </row>
    <row r="440" spans="5:5" ht="13.2">
      <c r="E440" s="8"/>
    </row>
    <row r="441" spans="5:5" ht="13.2">
      <c r="E441" s="8"/>
    </row>
    <row r="442" spans="5:5" ht="13.2">
      <c r="E442" s="8"/>
    </row>
    <row r="443" spans="5:5" ht="13.2">
      <c r="E443" s="8"/>
    </row>
    <row r="444" spans="5:5" ht="13.2">
      <c r="E444" s="8"/>
    </row>
    <row r="445" spans="5:5" ht="13.2">
      <c r="E445" s="8"/>
    </row>
    <row r="446" spans="5:5" ht="13.2">
      <c r="E446" s="8"/>
    </row>
    <row r="447" spans="5:5" ht="13.2">
      <c r="E447" s="8"/>
    </row>
    <row r="448" spans="5:5" ht="13.2">
      <c r="E448" s="8"/>
    </row>
    <row r="449" spans="5:5" ht="13.2">
      <c r="E449" s="8"/>
    </row>
    <row r="450" spans="5:5" ht="13.2">
      <c r="E450" s="8"/>
    </row>
    <row r="451" spans="5:5" ht="13.2">
      <c r="E451" s="8"/>
    </row>
    <row r="452" spans="5:5" ht="13.2">
      <c r="E452" s="8"/>
    </row>
    <row r="453" spans="5:5" ht="13.2">
      <c r="E453" s="8"/>
    </row>
    <row r="454" spans="5:5" ht="13.2">
      <c r="E454" s="8"/>
    </row>
    <row r="455" spans="5:5" ht="13.2">
      <c r="E455" s="8"/>
    </row>
    <row r="456" spans="5:5" ht="13.2">
      <c r="E456" s="8"/>
    </row>
    <row r="457" spans="5:5" ht="13.2">
      <c r="E457" s="8"/>
    </row>
    <row r="458" spans="5:5" ht="13.2">
      <c r="E458" s="8"/>
    </row>
    <row r="459" spans="5:5" ht="13.2">
      <c r="E459" s="8"/>
    </row>
    <row r="460" spans="5:5" ht="13.2">
      <c r="E460" s="8"/>
    </row>
    <row r="461" spans="5:5" ht="13.2">
      <c r="E461" s="8"/>
    </row>
    <row r="462" spans="5:5" ht="13.2">
      <c r="E462" s="8"/>
    </row>
    <row r="463" spans="5:5" ht="13.2">
      <c r="E463" s="8"/>
    </row>
    <row r="464" spans="5:5" ht="13.2">
      <c r="E464" s="8"/>
    </row>
    <row r="465" spans="5:5" ht="13.2">
      <c r="E465" s="8"/>
    </row>
    <row r="466" spans="5:5" ht="13.2">
      <c r="E466" s="8"/>
    </row>
    <row r="467" spans="5:5" ht="13.2">
      <c r="E467" s="8"/>
    </row>
    <row r="468" spans="5:5" ht="13.2">
      <c r="E468" s="8"/>
    </row>
    <row r="469" spans="5:5" ht="13.2">
      <c r="E469" s="8"/>
    </row>
    <row r="470" spans="5:5" ht="13.2">
      <c r="E470" s="8"/>
    </row>
    <row r="471" spans="5:5" ht="13.2">
      <c r="E471" s="8"/>
    </row>
    <row r="472" spans="5:5" ht="13.2">
      <c r="E472" s="8"/>
    </row>
    <row r="473" spans="5:5" ht="13.2">
      <c r="E473" s="8"/>
    </row>
    <row r="474" spans="5:5" ht="13.2">
      <c r="E474" s="8"/>
    </row>
    <row r="475" spans="5:5" ht="13.2">
      <c r="E475" s="8"/>
    </row>
    <row r="476" spans="5:5" ht="13.2">
      <c r="E476" s="8"/>
    </row>
    <row r="477" spans="5:5" ht="13.2">
      <c r="E477" s="8"/>
    </row>
    <row r="478" spans="5:5" ht="13.2">
      <c r="E478" s="8"/>
    </row>
    <row r="479" spans="5:5" ht="13.2">
      <c r="E479" s="8"/>
    </row>
    <row r="480" spans="5:5" ht="13.2">
      <c r="E480" s="8"/>
    </row>
    <row r="481" spans="5:5" ht="13.2">
      <c r="E481" s="8"/>
    </row>
    <row r="482" spans="5:5" ht="13.2">
      <c r="E482" s="8"/>
    </row>
    <row r="483" spans="5:5" ht="13.2">
      <c r="E483" s="8"/>
    </row>
    <row r="484" spans="5:5" ht="13.2">
      <c r="E484" s="8"/>
    </row>
    <row r="485" spans="5:5" ht="13.2">
      <c r="E485" s="8"/>
    </row>
    <row r="486" spans="5:5" ht="13.2">
      <c r="E486" s="8"/>
    </row>
    <row r="487" spans="5:5" ht="13.2">
      <c r="E487" s="8"/>
    </row>
    <row r="488" spans="5:5" ht="13.2">
      <c r="E488" s="8"/>
    </row>
    <row r="489" spans="5:5" ht="13.2">
      <c r="E489" s="8"/>
    </row>
    <row r="490" spans="5:5" ht="13.2">
      <c r="E490" s="8"/>
    </row>
    <row r="491" spans="5:5" ht="13.2">
      <c r="E491" s="8"/>
    </row>
    <row r="492" spans="5:5" ht="13.2">
      <c r="E492" s="8"/>
    </row>
    <row r="493" spans="5:5" ht="13.2">
      <c r="E493" s="8"/>
    </row>
    <row r="494" spans="5:5" ht="13.2">
      <c r="E494" s="8"/>
    </row>
    <row r="495" spans="5:5" ht="13.2">
      <c r="E495" s="8"/>
    </row>
    <row r="496" spans="5:5" ht="13.2">
      <c r="E496" s="8"/>
    </row>
    <row r="497" spans="5:5" ht="13.2">
      <c r="E497" s="8"/>
    </row>
    <row r="498" spans="5:5" ht="13.2">
      <c r="E498" s="8"/>
    </row>
    <row r="499" spans="5:5" ht="13.2">
      <c r="E499" s="8"/>
    </row>
    <row r="500" spans="5:5" ht="13.2">
      <c r="E500" s="8"/>
    </row>
    <row r="501" spans="5:5" ht="13.2">
      <c r="E501" s="8"/>
    </row>
    <row r="502" spans="5:5" ht="13.2">
      <c r="E502" s="8"/>
    </row>
    <row r="503" spans="5:5" ht="13.2">
      <c r="E503" s="8"/>
    </row>
    <row r="504" spans="5:5" ht="13.2">
      <c r="E504" s="8"/>
    </row>
    <row r="505" spans="5:5" ht="13.2">
      <c r="E505" s="8"/>
    </row>
    <row r="506" spans="5:5" ht="13.2">
      <c r="E506" s="8"/>
    </row>
    <row r="507" spans="5:5" ht="13.2">
      <c r="E507" s="8"/>
    </row>
    <row r="508" spans="5:5" ht="13.2">
      <c r="E508" s="8"/>
    </row>
    <row r="509" spans="5:5" ht="13.2">
      <c r="E509" s="8"/>
    </row>
    <row r="510" spans="5:5" ht="13.2">
      <c r="E510" s="8"/>
    </row>
    <row r="511" spans="5:5" ht="13.2">
      <c r="E511" s="8"/>
    </row>
    <row r="512" spans="5:5" ht="13.2">
      <c r="E512" s="8"/>
    </row>
    <row r="513" spans="5:5" ht="13.2">
      <c r="E513" s="8"/>
    </row>
    <row r="514" spans="5:5" ht="13.2">
      <c r="E514" s="8"/>
    </row>
    <row r="515" spans="5:5" ht="13.2">
      <c r="E515" s="8"/>
    </row>
    <row r="516" spans="5:5" ht="13.2">
      <c r="E516" s="8"/>
    </row>
    <row r="517" spans="5:5" ht="13.2">
      <c r="E517" s="8"/>
    </row>
    <row r="518" spans="5:5" ht="13.2">
      <c r="E518" s="8"/>
    </row>
    <row r="519" spans="5:5" ht="13.2">
      <c r="E519" s="8"/>
    </row>
    <row r="520" spans="5:5" ht="13.2">
      <c r="E520" s="8"/>
    </row>
    <row r="521" spans="5:5" ht="13.2">
      <c r="E521" s="8"/>
    </row>
    <row r="522" spans="5:5" ht="13.2">
      <c r="E522" s="8"/>
    </row>
    <row r="523" spans="5:5" ht="13.2">
      <c r="E523" s="8"/>
    </row>
    <row r="524" spans="5:5" ht="13.2">
      <c r="E524" s="8"/>
    </row>
    <row r="525" spans="5:5" ht="13.2">
      <c r="E525" s="8"/>
    </row>
    <row r="526" spans="5:5" ht="13.2">
      <c r="E526" s="8"/>
    </row>
    <row r="527" spans="5:5" ht="13.2">
      <c r="E527" s="8"/>
    </row>
    <row r="528" spans="5:5" ht="13.2">
      <c r="E528" s="8"/>
    </row>
    <row r="529" spans="5:5" ht="13.2">
      <c r="E529" s="8"/>
    </row>
    <row r="530" spans="5:5" ht="13.2">
      <c r="E530" s="8"/>
    </row>
    <row r="531" spans="5:5" ht="13.2">
      <c r="E531" s="8"/>
    </row>
    <row r="532" spans="5:5" ht="13.2">
      <c r="E532" s="8"/>
    </row>
    <row r="533" spans="5:5" ht="13.2">
      <c r="E533" s="8"/>
    </row>
    <row r="534" spans="5:5" ht="13.2">
      <c r="E534" s="8"/>
    </row>
    <row r="535" spans="5:5" ht="13.2">
      <c r="E535" s="8"/>
    </row>
    <row r="536" spans="5:5" ht="13.2">
      <c r="E536" s="8"/>
    </row>
    <row r="537" spans="5:5" ht="13.2">
      <c r="E537" s="8"/>
    </row>
    <row r="538" spans="5:5" ht="13.2">
      <c r="E538" s="8"/>
    </row>
    <row r="539" spans="5:5" ht="13.2">
      <c r="E539" s="8"/>
    </row>
    <row r="540" spans="5:5" ht="13.2">
      <c r="E540" s="8"/>
    </row>
    <row r="541" spans="5:5" ht="13.2">
      <c r="E541" s="8"/>
    </row>
    <row r="542" spans="5:5" ht="13.2">
      <c r="E542" s="8"/>
    </row>
    <row r="543" spans="5:5" ht="13.2">
      <c r="E543" s="8"/>
    </row>
    <row r="544" spans="5:5" ht="13.2">
      <c r="E544" s="8"/>
    </row>
    <row r="545" spans="5:5" ht="13.2">
      <c r="E545" s="8"/>
    </row>
    <row r="546" spans="5:5" ht="13.2">
      <c r="E546" s="8"/>
    </row>
    <row r="547" spans="5:5" ht="13.2">
      <c r="E547" s="8"/>
    </row>
    <row r="548" spans="5:5" ht="13.2">
      <c r="E548" s="8"/>
    </row>
    <row r="549" spans="5:5" ht="13.2">
      <c r="E549" s="8"/>
    </row>
    <row r="550" spans="5:5" ht="13.2">
      <c r="E550" s="8"/>
    </row>
    <row r="551" spans="5:5" ht="13.2">
      <c r="E551" s="8"/>
    </row>
    <row r="552" spans="5:5" ht="13.2">
      <c r="E552" s="8"/>
    </row>
    <row r="553" spans="5:5" ht="13.2">
      <c r="E553" s="8"/>
    </row>
    <row r="554" spans="5:5" ht="13.2">
      <c r="E554" s="8"/>
    </row>
    <row r="555" spans="5:5" ht="13.2">
      <c r="E555" s="8"/>
    </row>
    <row r="556" spans="5:5" ht="13.2">
      <c r="E556" s="8"/>
    </row>
    <row r="557" spans="5:5" ht="13.2">
      <c r="E557" s="8"/>
    </row>
    <row r="558" spans="5:5" ht="13.2">
      <c r="E558" s="8"/>
    </row>
    <row r="559" spans="5:5" ht="13.2">
      <c r="E559" s="8"/>
    </row>
    <row r="560" spans="5:5" ht="13.2">
      <c r="E560" s="8"/>
    </row>
    <row r="561" spans="5:5" ht="13.2">
      <c r="E561" s="8"/>
    </row>
    <row r="562" spans="5:5" ht="13.2">
      <c r="E562" s="8"/>
    </row>
    <row r="563" spans="5:5" ht="13.2">
      <c r="E563" s="8"/>
    </row>
    <row r="564" spans="5:5" ht="13.2">
      <c r="E564" s="8"/>
    </row>
    <row r="565" spans="5:5" ht="13.2">
      <c r="E565" s="8"/>
    </row>
    <row r="566" spans="5:5" ht="13.2">
      <c r="E566" s="8"/>
    </row>
    <row r="567" spans="5:5" ht="13.2">
      <c r="E567" s="8"/>
    </row>
    <row r="568" spans="5:5" ht="13.2">
      <c r="E568" s="8"/>
    </row>
    <row r="569" spans="5:5" ht="13.2">
      <c r="E569" s="8"/>
    </row>
    <row r="570" spans="5:5" ht="13.2">
      <c r="E570" s="8"/>
    </row>
    <row r="571" spans="5:5" ht="13.2">
      <c r="E571" s="8"/>
    </row>
    <row r="572" spans="5:5" ht="13.2">
      <c r="E572" s="8"/>
    </row>
    <row r="573" spans="5:5" ht="13.2">
      <c r="E573" s="8"/>
    </row>
    <row r="574" spans="5:5" ht="13.2">
      <c r="E574" s="8"/>
    </row>
    <row r="575" spans="5:5" ht="13.2">
      <c r="E575" s="8"/>
    </row>
    <row r="576" spans="5:5" ht="13.2">
      <c r="E576" s="8"/>
    </row>
    <row r="577" spans="5:5" ht="13.2">
      <c r="E577" s="8"/>
    </row>
    <row r="578" spans="5:5" ht="13.2">
      <c r="E578" s="8"/>
    </row>
    <row r="579" spans="5:5" ht="13.2">
      <c r="E579" s="8"/>
    </row>
    <row r="580" spans="5:5" ht="13.2">
      <c r="E580" s="8"/>
    </row>
    <row r="581" spans="5:5" ht="13.2">
      <c r="E581" s="8"/>
    </row>
    <row r="582" spans="5:5" ht="13.2">
      <c r="E582" s="8"/>
    </row>
    <row r="583" spans="5:5" ht="13.2">
      <c r="E583" s="8"/>
    </row>
    <row r="584" spans="5:5" ht="13.2">
      <c r="E584" s="8"/>
    </row>
    <row r="585" spans="5:5" ht="13.2">
      <c r="E585" s="8"/>
    </row>
    <row r="586" spans="5:5" ht="13.2">
      <c r="E586" s="8"/>
    </row>
    <row r="587" spans="5:5" ht="13.2">
      <c r="E587" s="8"/>
    </row>
    <row r="588" spans="5:5" ht="13.2">
      <c r="E588" s="8"/>
    </row>
    <row r="589" spans="5:5" ht="13.2">
      <c r="E589" s="8"/>
    </row>
    <row r="590" spans="5:5" ht="13.2">
      <c r="E590" s="8"/>
    </row>
    <row r="591" spans="5:5" ht="13.2">
      <c r="E591" s="8"/>
    </row>
    <row r="592" spans="5:5" ht="13.2">
      <c r="E592" s="8"/>
    </row>
    <row r="593" spans="5:5" ht="13.2">
      <c r="E593" s="8"/>
    </row>
    <row r="594" spans="5:5" ht="13.2">
      <c r="E594" s="8"/>
    </row>
    <row r="595" spans="5:5" ht="13.2">
      <c r="E595" s="8"/>
    </row>
    <row r="596" spans="5:5" ht="13.2">
      <c r="E596" s="8"/>
    </row>
    <row r="597" spans="5:5" ht="13.2">
      <c r="E597" s="8"/>
    </row>
    <row r="598" spans="5:5" ht="13.2">
      <c r="E598" s="8"/>
    </row>
    <row r="599" spans="5:5" ht="13.2">
      <c r="E599" s="8"/>
    </row>
    <row r="600" spans="5:5" ht="13.2">
      <c r="E600" s="8"/>
    </row>
    <row r="601" spans="5:5" ht="13.2">
      <c r="E601" s="8"/>
    </row>
    <row r="602" spans="5:5" ht="13.2">
      <c r="E602" s="8"/>
    </row>
    <row r="603" spans="5:5" ht="13.2">
      <c r="E603" s="8"/>
    </row>
    <row r="604" spans="5:5" ht="13.2">
      <c r="E604" s="8"/>
    </row>
    <row r="605" spans="5:5" ht="13.2">
      <c r="E605" s="8"/>
    </row>
    <row r="606" spans="5:5" ht="13.2">
      <c r="E606" s="8"/>
    </row>
    <row r="607" spans="5:5" ht="13.2">
      <c r="E607" s="8"/>
    </row>
    <row r="608" spans="5:5" ht="13.2">
      <c r="E608" s="8"/>
    </row>
    <row r="609" spans="5:5" ht="13.2">
      <c r="E609" s="8"/>
    </row>
    <row r="610" spans="5:5" ht="13.2">
      <c r="E610" s="8"/>
    </row>
    <row r="611" spans="5:5" ht="13.2">
      <c r="E611" s="8"/>
    </row>
    <row r="612" spans="5:5" ht="13.2">
      <c r="E612" s="8"/>
    </row>
    <row r="613" spans="5:5" ht="13.2">
      <c r="E613" s="8"/>
    </row>
    <row r="614" spans="5:5" ht="13.2">
      <c r="E614" s="8"/>
    </row>
    <row r="615" spans="5:5" ht="13.2">
      <c r="E615" s="8"/>
    </row>
    <row r="616" spans="5:5" ht="13.2">
      <c r="E616" s="8"/>
    </row>
    <row r="617" spans="5:5" ht="13.2">
      <c r="E617" s="8"/>
    </row>
    <row r="618" spans="5:5" ht="13.2">
      <c r="E618" s="8"/>
    </row>
    <row r="619" spans="5:5" ht="13.2">
      <c r="E619" s="8"/>
    </row>
    <row r="620" spans="5:5" ht="13.2">
      <c r="E620" s="8"/>
    </row>
    <row r="621" spans="5:5" ht="13.2">
      <c r="E621" s="8"/>
    </row>
    <row r="622" spans="5:5" ht="13.2">
      <c r="E622" s="8"/>
    </row>
    <row r="623" spans="5:5" ht="13.2">
      <c r="E623" s="8"/>
    </row>
    <row r="624" spans="5:5" ht="13.2">
      <c r="E624" s="8"/>
    </row>
    <row r="625" spans="5:5" ht="13.2">
      <c r="E625" s="8"/>
    </row>
    <row r="626" spans="5:5" ht="13.2">
      <c r="E626" s="8"/>
    </row>
    <row r="627" spans="5:5" ht="13.2">
      <c r="E627" s="8"/>
    </row>
    <row r="628" spans="5:5" ht="13.2">
      <c r="E628" s="8"/>
    </row>
    <row r="629" spans="5:5" ht="13.2">
      <c r="E629" s="8"/>
    </row>
    <row r="630" spans="5:5" ht="13.2">
      <c r="E630" s="8"/>
    </row>
    <row r="631" spans="5:5" ht="13.2">
      <c r="E631" s="8"/>
    </row>
    <row r="632" spans="5:5" ht="13.2">
      <c r="E632" s="8"/>
    </row>
    <row r="633" spans="5:5" ht="13.2">
      <c r="E633" s="8"/>
    </row>
    <row r="634" spans="5:5" ht="13.2">
      <c r="E634" s="8"/>
    </row>
    <row r="635" spans="5:5" ht="13.2">
      <c r="E635" s="8"/>
    </row>
    <row r="636" spans="5:5" ht="13.2">
      <c r="E636" s="8"/>
    </row>
    <row r="637" spans="5:5" ht="13.2">
      <c r="E637" s="8"/>
    </row>
    <row r="638" spans="5:5" ht="13.2">
      <c r="E638" s="8"/>
    </row>
    <row r="639" spans="5:5" ht="13.2">
      <c r="E639" s="8"/>
    </row>
    <row r="640" spans="5:5" ht="13.2">
      <c r="E640" s="8"/>
    </row>
    <row r="641" spans="5:5" ht="13.2">
      <c r="E641" s="8"/>
    </row>
    <row r="642" spans="5:5" ht="13.2">
      <c r="E642" s="8"/>
    </row>
    <row r="643" spans="5:5" ht="13.2">
      <c r="E643" s="8"/>
    </row>
    <row r="644" spans="5:5" ht="13.2">
      <c r="E644" s="8"/>
    </row>
    <row r="645" spans="5:5" ht="13.2">
      <c r="E645" s="8"/>
    </row>
    <row r="646" spans="5:5" ht="13.2">
      <c r="E646" s="8"/>
    </row>
    <row r="647" spans="5:5" ht="13.2">
      <c r="E647" s="8"/>
    </row>
    <row r="648" spans="5:5" ht="13.2">
      <c r="E648" s="8"/>
    </row>
    <row r="649" spans="5:5" ht="13.2">
      <c r="E649" s="8"/>
    </row>
    <row r="650" spans="5:5" ht="13.2">
      <c r="E650" s="8"/>
    </row>
    <row r="651" spans="5:5" ht="13.2">
      <c r="E651" s="8"/>
    </row>
    <row r="652" spans="5:5" ht="13.2">
      <c r="E652" s="8"/>
    </row>
    <row r="653" spans="5:5" ht="13.2">
      <c r="E653" s="8"/>
    </row>
    <row r="654" spans="5:5" ht="13.2">
      <c r="E654" s="8"/>
    </row>
    <row r="655" spans="5:5" ht="13.2">
      <c r="E655" s="8"/>
    </row>
    <row r="656" spans="5:5" ht="13.2">
      <c r="E656" s="8"/>
    </row>
    <row r="657" spans="5:5" ht="13.2">
      <c r="E657" s="8"/>
    </row>
    <row r="658" spans="5:5" ht="13.2">
      <c r="E658" s="8"/>
    </row>
    <row r="659" spans="5:5" ht="13.2">
      <c r="E659" s="8"/>
    </row>
    <row r="660" spans="5:5" ht="13.2">
      <c r="E660" s="8"/>
    </row>
    <row r="661" spans="5:5" ht="13.2">
      <c r="E661" s="8"/>
    </row>
    <row r="662" spans="5:5" ht="13.2">
      <c r="E662" s="8"/>
    </row>
    <row r="663" spans="5:5" ht="13.2">
      <c r="E663" s="8"/>
    </row>
    <row r="664" spans="5:5" ht="13.2">
      <c r="E664" s="8"/>
    </row>
    <row r="665" spans="5:5" ht="13.2">
      <c r="E665" s="8"/>
    </row>
    <row r="666" spans="5:5" ht="13.2">
      <c r="E666" s="8"/>
    </row>
    <row r="667" spans="5:5" ht="13.2">
      <c r="E667" s="8"/>
    </row>
    <row r="668" spans="5:5" ht="13.2">
      <c r="E668" s="8"/>
    </row>
    <row r="669" spans="5:5" ht="13.2">
      <c r="E669" s="8"/>
    </row>
    <row r="670" spans="5:5" ht="13.2">
      <c r="E670" s="8"/>
    </row>
    <row r="671" spans="5:5" ht="13.2">
      <c r="E671" s="8"/>
    </row>
    <row r="672" spans="5:5" ht="13.2">
      <c r="E672" s="8"/>
    </row>
    <row r="673" spans="5:5" ht="13.2">
      <c r="E673" s="8"/>
    </row>
    <row r="674" spans="5:5" ht="13.2">
      <c r="E674" s="8"/>
    </row>
    <row r="675" spans="5:5" ht="13.2">
      <c r="E675" s="8"/>
    </row>
    <row r="676" spans="5:5" ht="13.2">
      <c r="E676" s="8"/>
    </row>
    <row r="677" spans="5:5" ht="13.2">
      <c r="E677" s="8"/>
    </row>
    <row r="678" spans="5:5" ht="13.2">
      <c r="E678" s="8"/>
    </row>
    <row r="679" spans="5:5" ht="13.2">
      <c r="E679" s="8"/>
    </row>
    <row r="680" spans="5:5" ht="13.2">
      <c r="E680" s="8"/>
    </row>
    <row r="681" spans="5:5" ht="13.2">
      <c r="E681" s="8"/>
    </row>
    <row r="682" spans="5:5" ht="13.2">
      <c r="E682" s="8"/>
    </row>
    <row r="683" spans="5:5" ht="13.2">
      <c r="E683" s="8"/>
    </row>
    <row r="684" spans="5:5" ht="13.2">
      <c r="E684" s="8"/>
    </row>
    <row r="685" spans="5:5" ht="13.2">
      <c r="E685" s="8"/>
    </row>
    <row r="686" spans="5:5" ht="13.2">
      <c r="E686" s="8"/>
    </row>
    <row r="687" spans="5:5" ht="13.2">
      <c r="E687" s="8"/>
    </row>
    <row r="688" spans="5:5" ht="13.2">
      <c r="E688" s="8"/>
    </row>
    <row r="689" spans="5:5" ht="13.2">
      <c r="E689" s="8"/>
    </row>
    <row r="690" spans="5:5" ht="13.2">
      <c r="E690" s="8"/>
    </row>
    <row r="691" spans="5:5" ht="13.2">
      <c r="E691" s="8"/>
    </row>
    <row r="692" spans="5:5" ht="13.2">
      <c r="E692" s="8"/>
    </row>
    <row r="693" spans="5:5" ht="13.2">
      <c r="E693" s="8"/>
    </row>
    <row r="694" spans="5:5" ht="13.2">
      <c r="E694" s="8"/>
    </row>
    <row r="695" spans="5:5" ht="13.2">
      <c r="E695" s="8"/>
    </row>
    <row r="696" spans="5:5" ht="13.2">
      <c r="E696" s="8"/>
    </row>
    <row r="697" spans="5:5" ht="13.2">
      <c r="E697" s="8"/>
    </row>
    <row r="698" spans="5:5" ht="13.2">
      <c r="E698" s="8"/>
    </row>
    <row r="699" spans="5:5" ht="13.2">
      <c r="E699" s="8"/>
    </row>
    <row r="700" spans="5:5" ht="13.2">
      <c r="E700" s="8"/>
    </row>
    <row r="701" spans="5:5" ht="13.2">
      <c r="E701" s="8"/>
    </row>
    <row r="702" spans="5:5" ht="13.2">
      <c r="E702" s="8"/>
    </row>
    <row r="703" spans="5:5" ht="13.2">
      <c r="E703" s="8"/>
    </row>
    <row r="704" spans="5:5" ht="13.2">
      <c r="E704" s="8"/>
    </row>
    <row r="705" spans="5:5" ht="13.2">
      <c r="E705" s="8"/>
    </row>
    <row r="706" spans="5:5" ht="13.2">
      <c r="E706" s="8"/>
    </row>
    <row r="707" spans="5:5" ht="13.2">
      <c r="E707" s="8"/>
    </row>
    <row r="708" spans="5:5" ht="13.2">
      <c r="E708" s="8"/>
    </row>
    <row r="709" spans="5:5" ht="13.2">
      <c r="E709" s="8"/>
    </row>
    <row r="710" spans="5:5" ht="13.2">
      <c r="E710" s="8"/>
    </row>
    <row r="711" spans="5:5" ht="13.2">
      <c r="E711" s="8"/>
    </row>
    <row r="712" spans="5:5" ht="13.2">
      <c r="E712" s="8"/>
    </row>
    <row r="713" spans="5:5" ht="13.2">
      <c r="E713" s="8"/>
    </row>
    <row r="714" spans="5:5" ht="13.2">
      <c r="E714" s="8"/>
    </row>
    <row r="715" spans="5:5" ht="13.2">
      <c r="E715" s="8"/>
    </row>
    <row r="716" spans="5:5" ht="13.2">
      <c r="E716" s="8"/>
    </row>
    <row r="717" spans="5:5" ht="13.2">
      <c r="E717" s="8"/>
    </row>
    <row r="718" spans="5:5" ht="13.2">
      <c r="E718" s="8"/>
    </row>
    <row r="719" spans="5:5" ht="13.2">
      <c r="E719" s="8"/>
    </row>
    <row r="720" spans="5:5" ht="13.2">
      <c r="E720" s="8"/>
    </row>
    <row r="721" spans="5:5" ht="13.2">
      <c r="E721" s="8"/>
    </row>
    <row r="722" spans="5:5" ht="13.2">
      <c r="E722" s="8"/>
    </row>
    <row r="723" spans="5:5" ht="13.2">
      <c r="E723" s="8"/>
    </row>
    <row r="724" spans="5:5" ht="13.2">
      <c r="E724" s="8"/>
    </row>
    <row r="725" spans="5:5" ht="13.2">
      <c r="E725" s="8"/>
    </row>
    <row r="726" spans="5:5" ht="13.2">
      <c r="E726" s="8"/>
    </row>
    <row r="727" spans="5:5" ht="13.2">
      <c r="E727" s="8"/>
    </row>
    <row r="728" spans="5:5" ht="13.2">
      <c r="E728" s="8"/>
    </row>
    <row r="729" spans="5:5" ht="13.2">
      <c r="E729" s="8"/>
    </row>
    <row r="730" spans="5:5" ht="13.2">
      <c r="E730" s="8"/>
    </row>
    <row r="731" spans="5:5" ht="13.2">
      <c r="E731" s="8"/>
    </row>
    <row r="732" spans="5:5" ht="13.2">
      <c r="E732" s="8"/>
    </row>
    <row r="733" spans="5:5" ht="13.2">
      <c r="E733" s="8"/>
    </row>
    <row r="734" spans="5:5" ht="13.2">
      <c r="E734" s="8"/>
    </row>
    <row r="735" spans="5:5" ht="13.2">
      <c r="E735" s="8"/>
    </row>
    <row r="736" spans="5:5" ht="13.2">
      <c r="E736" s="8"/>
    </row>
    <row r="737" spans="5:5" ht="13.2">
      <c r="E737" s="8"/>
    </row>
    <row r="738" spans="5:5" ht="13.2">
      <c r="E738" s="8"/>
    </row>
    <row r="739" spans="5:5" ht="13.2">
      <c r="E739" s="8"/>
    </row>
    <row r="740" spans="5:5" ht="13.2">
      <c r="E740" s="8"/>
    </row>
    <row r="741" spans="5:5" ht="13.2">
      <c r="E741" s="8"/>
    </row>
    <row r="742" spans="5:5" ht="13.2">
      <c r="E742" s="8"/>
    </row>
    <row r="743" spans="5:5" ht="13.2">
      <c r="E743" s="8"/>
    </row>
    <row r="744" spans="5:5" ht="13.2">
      <c r="E744" s="8"/>
    </row>
    <row r="745" spans="5:5" ht="13.2">
      <c r="E745" s="8"/>
    </row>
    <row r="746" spans="5:5" ht="13.2">
      <c r="E746" s="8"/>
    </row>
    <row r="747" spans="5:5" ht="13.2">
      <c r="E747" s="8"/>
    </row>
    <row r="748" spans="5:5" ht="13.2">
      <c r="E748" s="8"/>
    </row>
    <row r="749" spans="5:5" ht="13.2">
      <c r="E749" s="8"/>
    </row>
    <row r="750" spans="5:5" ht="13.2">
      <c r="E750" s="8"/>
    </row>
    <row r="751" spans="5:5" ht="13.2">
      <c r="E751" s="8"/>
    </row>
    <row r="752" spans="5:5" ht="13.2">
      <c r="E752" s="8"/>
    </row>
    <row r="753" spans="5:5" ht="13.2">
      <c r="E753" s="8"/>
    </row>
    <row r="754" spans="5:5" ht="13.2">
      <c r="E754" s="8"/>
    </row>
    <row r="755" spans="5:5" ht="13.2">
      <c r="E755" s="8"/>
    </row>
    <row r="756" spans="5:5" ht="13.2">
      <c r="E756" s="8"/>
    </row>
    <row r="757" spans="5:5" ht="13.2">
      <c r="E757" s="8"/>
    </row>
    <row r="758" spans="5:5" ht="13.2">
      <c r="E758" s="8"/>
    </row>
    <row r="759" spans="5:5" ht="13.2">
      <c r="E759" s="8"/>
    </row>
    <row r="760" spans="5:5" ht="13.2">
      <c r="E760" s="8"/>
    </row>
    <row r="761" spans="5:5" ht="13.2">
      <c r="E761" s="8"/>
    </row>
    <row r="762" spans="5:5" ht="13.2">
      <c r="E762" s="8"/>
    </row>
    <row r="763" spans="5:5" ht="13.2">
      <c r="E763" s="8"/>
    </row>
    <row r="764" spans="5:5" ht="13.2">
      <c r="E764" s="8"/>
    </row>
    <row r="765" spans="5:5" ht="13.2">
      <c r="E765" s="8"/>
    </row>
    <row r="766" spans="5:5" ht="13.2">
      <c r="E766" s="8"/>
    </row>
    <row r="767" spans="5:5" ht="13.2">
      <c r="E767" s="8"/>
    </row>
    <row r="768" spans="5:5" ht="13.2">
      <c r="E768" s="8"/>
    </row>
    <row r="769" spans="5:5" ht="13.2">
      <c r="E769" s="8"/>
    </row>
    <row r="770" spans="5:5" ht="13.2">
      <c r="E770" s="8"/>
    </row>
    <row r="771" spans="5:5" ht="13.2">
      <c r="E771" s="8"/>
    </row>
    <row r="772" spans="5:5" ht="13.2">
      <c r="E772" s="8"/>
    </row>
    <row r="773" spans="5:5" ht="13.2">
      <c r="E773" s="8"/>
    </row>
    <row r="774" spans="5:5" ht="13.2">
      <c r="E774" s="8"/>
    </row>
    <row r="775" spans="5:5" ht="13.2">
      <c r="E775" s="8"/>
    </row>
    <row r="776" spans="5:5" ht="13.2">
      <c r="E776" s="8"/>
    </row>
    <row r="777" spans="5:5" ht="13.2">
      <c r="E777" s="8"/>
    </row>
    <row r="778" spans="5:5" ht="13.2">
      <c r="E778" s="8"/>
    </row>
    <row r="779" spans="5:5" ht="13.2">
      <c r="E779" s="8"/>
    </row>
    <row r="780" spans="5:5" ht="13.2">
      <c r="E780" s="8"/>
    </row>
    <row r="781" spans="5:5" ht="13.2">
      <c r="E781" s="8"/>
    </row>
    <row r="782" spans="5:5" ht="13.2">
      <c r="E782" s="8"/>
    </row>
    <row r="783" spans="5:5" ht="13.2">
      <c r="E783" s="8"/>
    </row>
    <row r="784" spans="5:5" ht="13.2">
      <c r="E784" s="8"/>
    </row>
    <row r="785" spans="5:5" ht="13.2">
      <c r="E785" s="8"/>
    </row>
    <row r="786" spans="5:5" ht="13.2">
      <c r="E786" s="8"/>
    </row>
    <row r="787" spans="5:5" ht="13.2">
      <c r="E787" s="8"/>
    </row>
    <row r="788" spans="5:5" ht="13.2">
      <c r="E788" s="8"/>
    </row>
    <row r="789" spans="5:5" ht="13.2">
      <c r="E789" s="8"/>
    </row>
    <row r="790" spans="5:5" ht="13.2">
      <c r="E790" s="8"/>
    </row>
    <row r="791" spans="5:5" ht="13.2">
      <c r="E791" s="8"/>
    </row>
    <row r="792" spans="5:5" ht="13.2">
      <c r="E792" s="8"/>
    </row>
    <row r="793" spans="5:5" ht="13.2">
      <c r="E793" s="8"/>
    </row>
    <row r="794" spans="5:5" ht="13.2">
      <c r="E794" s="8"/>
    </row>
    <row r="795" spans="5:5" ht="13.2">
      <c r="E795" s="8"/>
    </row>
    <row r="796" spans="5:5" ht="13.2">
      <c r="E796" s="8"/>
    </row>
    <row r="797" spans="5:5" ht="13.2">
      <c r="E797" s="8"/>
    </row>
    <row r="798" spans="5:5" ht="13.2">
      <c r="E798" s="8"/>
    </row>
    <row r="799" spans="5:5" ht="13.2">
      <c r="E799" s="8"/>
    </row>
    <row r="800" spans="5:5" ht="13.2">
      <c r="E800" s="8"/>
    </row>
    <row r="801" spans="5:5" ht="13.2">
      <c r="E801" s="8"/>
    </row>
    <row r="802" spans="5:5" ht="13.2">
      <c r="E802" s="8"/>
    </row>
    <row r="803" spans="5:5" ht="13.2">
      <c r="E803" s="8"/>
    </row>
    <row r="804" spans="5:5" ht="13.2">
      <c r="E804" s="8"/>
    </row>
    <row r="805" spans="5:5" ht="13.2">
      <c r="E805" s="8"/>
    </row>
    <row r="806" spans="5:5" ht="13.2">
      <c r="E806" s="8"/>
    </row>
    <row r="807" spans="5:5" ht="13.2">
      <c r="E807" s="8"/>
    </row>
    <row r="808" spans="5:5" ht="13.2">
      <c r="E808" s="8"/>
    </row>
    <row r="809" spans="5:5" ht="13.2">
      <c r="E809" s="8"/>
    </row>
    <row r="810" spans="5:5" ht="13.2">
      <c r="E810" s="8"/>
    </row>
    <row r="811" spans="5:5" ht="13.2">
      <c r="E811" s="8"/>
    </row>
    <row r="812" spans="5:5" ht="13.2">
      <c r="E812" s="8"/>
    </row>
    <row r="813" spans="5:5" ht="13.2">
      <c r="E813" s="8"/>
    </row>
    <row r="814" spans="5:5" ht="13.2">
      <c r="E814" s="8"/>
    </row>
    <row r="815" spans="5:5" ht="13.2">
      <c r="E815" s="8"/>
    </row>
    <row r="816" spans="5:5" ht="13.2">
      <c r="E816" s="8"/>
    </row>
    <row r="817" spans="5:5" ht="13.2">
      <c r="E817" s="8"/>
    </row>
    <row r="818" spans="5:5" ht="13.2">
      <c r="E818" s="8"/>
    </row>
    <row r="819" spans="5:5" ht="13.2">
      <c r="E819" s="8"/>
    </row>
    <row r="820" spans="5:5" ht="13.2">
      <c r="E820" s="8"/>
    </row>
    <row r="821" spans="5:5" ht="13.2">
      <c r="E821" s="8"/>
    </row>
    <row r="822" spans="5:5" ht="13.2">
      <c r="E822" s="8"/>
    </row>
    <row r="823" spans="5:5" ht="13.2">
      <c r="E823" s="8"/>
    </row>
    <row r="824" spans="5:5" ht="13.2">
      <c r="E824" s="8"/>
    </row>
    <row r="825" spans="5:5" ht="13.2">
      <c r="E825" s="8"/>
    </row>
    <row r="826" spans="5:5" ht="13.2">
      <c r="E826" s="8"/>
    </row>
    <row r="827" spans="5:5" ht="13.2">
      <c r="E827" s="8"/>
    </row>
    <row r="828" spans="5:5" ht="13.2">
      <c r="E828" s="8"/>
    </row>
    <row r="829" spans="5:5" ht="13.2">
      <c r="E829" s="8"/>
    </row>
    <row r="830" spans="5:5" ht="13.2">
      <c r="E830" s="8"/>
    </row>
    <row r="831" spans="5:5" ht="13.2">
      <c r="E831" s="8"/>
    </row>
    <row r="832" spans="5:5" ht="13.2">
      <c r="E832" s="8"/>
    </row>
    <row r="833" spans="5:5" ht="13.2">
      <c r="E833" s="8"/>
    </row>
    <row r="834" spans="5:5" ht="13.2">
      <c r="E834" s="8"/>
    </row>
    <row r="835" spans="5:5" ht="13.2">
      <c r="E835" s="8"/>
    </row>
    <row r="836" spans="5:5" ht="13.2">
      <c r="E836" s="8"/>
    </row>
    <row r="837" spans="5:5" ht="13.2">
      <c r="E837" s="8"/>
    </row>
    <row r="838" spans="5:5" ht="13.2">
      <c r="E838" s="8"/>
    </row>
    <row r="839" spans="5:5" ht="13.2">
      <c r="E839" s="8"/>
    </row>
    <row r="840" spans="5:5" ht="13.2">
      <c r="E840" s="8"/>
    </row>
    <row r="841" spans="5:5" ht="13.2">
      <c r="E841" s="8"/>
    </row>
    <row r="842" spans="5:5" ht="13.2">
      <c r="E842" s="8"/>
    </row>
    <row r="843" spans="5:5" ht="13.2">
      <c r="E843" s="8"/>
    </row>
    <row r="844" spans="5:5" ht="13.2">
      <c r="E844" s="8"/>
    </row>
    <row r="845" spans="5:5" ht="13.2">
      <c r="E845" s="8"/>
    </row>
    <row r="846" spans="5:5" ht="13.2">
      <c r="E846" s="8"/>
    </row>
    <row r="847" spans="5:5" ht="13.2">
      <c r="E847" s="8"/>
    </row>
    <row r="848" spans="5:5" ht="13.2">
      <c r="E848" s="8"/>
    </row>
    <row r="849" spans="5:5" ht="13.2">
      <c r="E849" s="8"/>
    </row>
    <row r="850" spans="5:5" ht="13.2">
      <c r="E850" s="8"/>
    </row>
    <row r="851" spans="5:5" ht="13.2">
      <c r="E851" s="8"/>
    </row>
    <row r="852" spans="5:5" ht="13.2">
      <c r="E852" s="8"/>
    </row>
    <row r="853" spans="5:5" ht="13.2">
      <c r="E853" s="8"/>
    </row>
    <row r="854" spans="5:5" ht="13.2">
      <c r="E854" s="8"/>
    </row>
    <row r="855" spans="5:5" ht="13.2">
      <c r="E855" s="8"/>
    </row>
    <row r="856" spans="5:5" ht="13.2">
      <c r="E856" s="8"/>
    </row>
    <row r="857" spans="5:5" ht="13.2">
      <c r="E857" s="8"/>
    </row>
    <row r="858" spans="5:5" ht="13.2">
      <c r="E858" s="8"/>
    </row>
    <row r="859" spans="5:5" ht="13.2">
      <c r="E859" s="8"/>
    </row>
    <row r="860" spans="5:5" ht="13.2">
      <c r="E860" s="8"/>
    </row>
    <row r="861" spans="5:5" ht="13.2">
      <c r="E861" s="8"/>
    </row>
    <row r="862" spans="5:5" ht="13.2">
      <c r="E862" s="8"/>
    </row>
    <row r="863" spans="5:5" ht="13.2">
      <c r="E863" s="8"/>
    </row>
    <row r="864" spans="5:5" ht="13.2">
      <c r="E864" s="8"/>
    </row>
    <row r="865" spans="5:5" ht="13.2">
      <c r="E865" s="8"/>
    </row>
    <row r="866" spans="5:5" ht="13.2">
      <c r="E866" s="8"/>
    </row>
    <row r="867" spans="5:5" ht="13.2">
      <c r="E867" s="8"/>
    </row>
    <row r="868" spans="5:5" ht="13.2">
      <c r="E868" s="8"/>
    </row>
    <row r="869" spans="5:5" ht="13.2">
      <c r="E869" s="8"/>
    </row>
    <row r="870" spans="5:5" ht="13.2">
      <c r="E870" s="8"/>
    </row>
    <row r="871" spans="5:5" ht="13.2">
      <c r="E871" s="8"/>
    </row>
    <row r="872" spans="5:5" ht="13.2">
      <c r="E872" s="8"/>
    </row>
    <row r="873" spans="5:5" ht="13.2">
      <c r="E873" s="8"/>
    </row>
    <row r="874" spans="5:5" ht="13.2">
      <c r="E874" s="8"/>
    </row>
    <row r="875" spans="5:5" ht="13.2">
      <c r="E875" s="8"/>
    </row>
    <row r="876" spans="5:5" ht="13.2">
      <c r="E876" s="8"/>
    </row>
    <row r="877" spans="5:5" ht="13.2">
      <c r="E877" s="8"/>
    </row>
    <row r="878" spans="5:5" ht="13.2">
      <c r="E878" s="8"/>
    </row>
    <row r="879" spans="5:5" ht="13.2">
      <c r="E879" s="8"/>
    </row>
    <row r="880" spans="5:5" ht="13.2">
      <c r="E880" s="8"/>
    </row>
    <row r="881" spans="5:5" ht="13.2">
      <c r="E881" s="8"/>
    </row>
    <row r="882" spans="5:5" ht="13.2">
      <c r="E882" s="8"/>
    </row>
    <row r="883" spans="5:5" ht="13.2">
      <c r="E883" s="8"/>
    </row>
    <row r="884" spans="5:5" ht="13.2">
      <c r="E884" s="8"/>
    </row>
    <row r="885" spans="5:5" ht="13.2">
      <c r="E885" s="8"/>
    </row>
    <row r="886" spans="5:5" ht="13.2">
      <c r="E886" s="8"/>
    </row>
    <row r="887" spans="5:5" ht="13.2">
      <c r="E887" s="8"/>
    </row>
    <row r="888" spans="5:5" ht="13.2">
      <c r="E888" s="8"/>
    </row>
    <row r="889" spans="5:5" ht="13.2">
      <c r="E889" s="8"/>
    </row>
    <row r="890" spans="5:5" ht="13.2">
      <c r="E890" s="8"/>
    </row>
    <row r="891" spans="5:5" ht="13.2">
      <c r="E891" s="8"/>
    </row>
    <row r="892" spans="5:5" ht="13.2">
      <c r="E892" s="8"/>
    </row>
    <row r="893" spans="5:5" ht="13.2">
      <c r="E893" s="8"/>
    </row>
    <row r="894" spans="5:5" ht="13.2">
      <c r="E894" s="8"/>
    </row>
    <row r="895" spans="5:5" ht="13.2">
      <c r="E895" s="8"/>
    </row>
    <row r="896" spans="5:5" ht="13.2">
      <c r="E896" s="8"/>
    </row>
    <row r="897" spans="5:5" ht="13.2">
      <c r="E897" s="8"/>
    </row>
    <row r="898" spans="5:5" ht="13.2">
      <c r="E898" s="8"/>
    </row>
    <row r="899" spans="5:5" ht="13.2">
      <c r="E899" s="8"/>
    </row>
    <row r="900" spans="5:5" ht="13.2">
      <c r="E900" s="8"/>
    </row>
    <row r="901" spans="5:5" ht="13.2">
      <c r="E901" s="8"/>
    </row>
    <row r="902" spans="5:5" ht="13.2">
      <c r="E902" s="8"/>
    </row>
    <row r="903" spans="5:5" ht="13.2">
      <c r="E903" s="8"/>
    </row>
    <row r="904" spans="5:5" ht="13.2">
      <c r="E904" s="8"/>
    </row>
    <row r="905" spans="5:5" ht="13.2">
      <c r="E905" s="8"/>
    </row>
    <row r="906" spans="5:5" ht="13.2">
      <c r="E906" s="8"/>
    </row>
    <row r="907" spans="5:5" ht="13.2">
      <c r="E907" s="8"/>
    </row>
    <row r="908" spans="5:5" ht="13.2">
      <c r="E908" s="8"/>
    </row>
    <row r="909" spans="5:5" ht="13.2">
      <c r="E909" s="8"/>
    </row>
    <row r="910" spans="5:5" ht="13.2">
      <c r="E910" s="8"/>
    </row>
    <row r="911" spans="5:5" ht="13.2">
      <c r="E911" s="8"/>
    </row>
    <row r="912" spans="5:5" ht="13.2">
      <c r="E912" s="8"/>
    </row>
    <row r="913" spans="5:5" ht="13.2">
      <c r="E913" s="8"/>
    </row>
    <row r="914" spans="5:5" ht="13.2">
      <c r="E914" s="8"/>
    </row>
    <row r="915" spans="5:5" ht="13.2">
      <c r="E915" s="8"/>
    </row>
    <row r="916" spans="5:5" ht="13.2">
      <c r="E916" s="8"/>
    </row>
    <row r="917" spans="5:5" ht="13.2">
      <c r="E917" s="8"/>
    </row>
    <row r="918" spans="5:5" ht="13.2">
      <c r="E918" s="8"/>
    </row>
    <row r="919" spans="5:5" ht="13.2">
      <c r="E919" s="8"/>
    </row>
    <row r="920" spans="5:5" ht="13.2">
      <c r="E920" s="8"/>
    </row>
    <row r="921" spans="5:5" ht="13.2">
      <c r="E921" s="8"/>
    </row>
    <row r="922" spans="5:5" ht="13.2">
      <c r="E922" s="8"/>
    </row>
    <row r="923" spans="5:5" ht="13.2">
      <c r="E923" s="8"/>
    </row>
    <row r="924" spans="5:5" ht="13.2">
      <c r="E924" s="8"/>
    </row>
    <row r="925" spans="5:5" ht="13.2">
      <c r="E925" s="8"/>
    </row>
    <row r="926" spans="5:5" ht="13.2">
      <c r="E926" s="8"/>
    </row>
    <row r="927" spans="5:5" ht="13.2">
      <c r="E927" s="8"/>
    </row>
    <row r="928" spans="5:5" ht="13.2">
      <c r="E928" s="8"/>
    </row>
    <row r="929" spans="5:5" ht="13.2">
      <c r="E929" s="8"/>
    </row>
    <row r="930" spans="5:5" ht="13.2">
      <c r="E930" s="8"/>
    </row>
    <row r="931" spans="5:5" ht="13.2">
      <c r="E931" s="8"/>
    </row>
    <row r="932" spans="5:5" ht="13.2">
      <c r="E932" s="8"/>
    </row>
    <row r="933" spans="5:5" ht="13.2">
      <c r="E933" s="8"/>
    </row>
    <row r="934" spans="5:5" ht="13.2">
      <c r="E934" s="8"/>
    </row>
    <row r="935" spans="5:5" ht="13.2">
      <c r="E935" s="8"/>
    </row>
    <row r="936" spans="5:5" ht="13.2">
      <c r="E936" s="8"/>
    </row>
    <row r="937" spans="5:5" ht="13.2">
      <c r="E937" s="8"/>
    </row>
    <row r="938" spans="5:5" ht="13.2">
      <c r="E938" s="8"/>
    </row>
    <row r="939" spans="5:5" ht="13.2">
      <c r="E939" s="8"/>
    </row>
    <row r="940" spans="5:5" ht="13.2">
      <c r="E940" s="8"/>
    </row>
    <row r="941" spans="5:5" ht="13.2">
      <c r="E941" s="8"/>
    </row>
    <row r="942" spans="5:5" ht="13.2">
      <c r="E942" s="8"/>
    </row>
    <row r="943" spans="5:5" ht="13.2">
      <c r="E943" s="8"/>
    </row>
    <row r="944" spans="5:5" ht="13.2">
      <c r="E944" s="8"/>
    </row>
    <row r="945" spans="5:5" ht="13.2">
      <c r="E945" s="8"/>
    </row>
    <row r="946" spans="5:5" ht="13.2">
      <c r="E946" s="8"/>
    </row>
    <row r="947" spans="5:5" ht="13.2">
      <c r="E947" s="8"/>
    </row>
    <row r="948" spans="5:5" ht="13.2">
      <c r="E948" s="8"/>
    </row>
    <row r="949" spans="5:5" ht="13.2">
      <c r="E949" s="8"/>
    </row>
    <row r="950" spans="5:5" ht="13.2">
      <c r="E950" s="8"/>
    </row>
    <row r="951" spans="5:5" ht="13.2">
      <c r="E951" s="8"/>
    </row>
    <row r="952" spans="5:5" ht="13.2">
      <c r="E952" s="8"/>
    </row>
    <row r="953" spans="5:5" ht="13.2">
      <c r="E953" s="8"/>
    </row>
    <row r="954" spans="5:5" ht="13.2">
      <c r="E954" s="8"/>
    </row>
    <row r="955" spans="5:5" ht="13.2">
      <c r="E955" s="8"/>
    </row>
    <row r="956" spans="5:5" ht="13.2">
      <c r="E956" s="8"/>
    </row>
    <row r="957" spans="5:5" ht="13.2">
      <c r="E957" s="8"/>
    </row>
    <row r="958" spans="5:5" ht="13.2">
      <c r="E958" s="8"/>
    </row>
    <row r="959" spans="5:5" ht="13.2">
      <c r="E959" s="8"/>
    </row>
  </sheetData>
  <mergeCells count="38">
    <mergeCell ref="B7:D7"/>
    <mergeCell ref="B8:D8"/>
    <mergeCell ref="B9:D9"/>
    <mergeCell ref="B17:D17"/>
    <mergeCell ref="B18:D18"/>
    <mergeCell ref="B19:D19"/>
    <mergeCell ref="B20:D20"/>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40:D40"/>
    <mergeCell ref="B45:D45"/>
    <mergeCell ref="B46:D46"/>
    <mergeCell ref="B47:D47"/>
    <mergeCell ref="B48:D48"/>
    <mergeCell ref="B49:D49"/>
    <mergeCell ref="B67:D67"/>
    <mergeCell ref="B68:D68"/>
    <mergeCell ref="B69:D69"/>
    <mergeCell ref="B70:D70"/>
    <mergeCell ref="B50:D50"/>
    <mergeCell ref="B51:D51"/>
    <mergeCell ref="B52:D52"/>
    <mergeCell ref="B63:D63"/>
    <mergeCell ref="B64:D64"/>
    <mergeCell ref="B65:D65"/>
    <mergeCell ref="B66:D66"/>
  </mergeCells>
  <hyperlinks>
    <hyperlink ref="A2" r:id="rId1" xr:uid="{00000000-0004-0000-0000-000000000000}"/>
    <hyperlink ref="A3" r:id="rId2" xr:uid="{00000000-0004-0000-0000-000002000000}"/>
    <hyperlink ref="A4" r:id="rId3" xr:uid="{00000000-0004-0000-0000-000004000000}"/>
    <hyperlink ref="A5" r:id="rId4" xr:uid="{00000000-0004-0000-0000-000006000000}"/>
    <hyperlink ref="A6" r:id="rId5" xr:uid="{00000000-0004-0000-0000-000008000000}"/>
    <hyperlink ref="A7" r:id="rId6" xr:uid="{00000000-0004-0000-0000-00000A000000}"/>
    <hyperlink ref="A8" r:id="rId7" xr:uid="{00000000-0004-0000-0000-00000C000000}"/>
    <hyperlink ref="A9" r:id="rId8" xr:uid="{00000000-0004-0000-0000-00000E000000}"/>
    <hyperlink ref="A10" r:id="rId9" xr:uid="{00000000-0004-0000-0000-000010000000}"/>
    <hyperlink ref="A11" r:id="rId10" xr:uid="{00000000-0004-0000-0000-000012000000}"/>
    <hyperlink ref="A12" r:id="rId11" xr:uid="{00000000-0004-0000-0000-000014000000}"/>
    <hyperlink ref="A13" r:id="rId12" xr:uid="{00000000-0004-0000-0000-000016000000}"/>
    <hyperlink ref="A14" r:id="rId13" xr:uid="{00000000-0004-0000-0000-000018000000}"/>
    <hyperlink ref="A15" r:id="rId14" xr:uid="{00000000-0004-0000-0000-00001A000000}"/>
    <hyperlink ref="A16" r:id="rId15" xr:uid="{00000000-0004-0000-0000-00001C000000}"/>
    <hyperlink ref="A17" r:id="rId16" xr:uid="{00000000-0004-0000-0000-00001E000000}"/>
    <hyperlink ref="A18" r:id="rId17" xr:uid="{00000000-0004-0000-0000-000020000000}"/>
    <hyperlink ref="A19" r:id="rId18" xr:uid="{00000000-0004-0000-0000-000022000000}"/>
    <hyperlink ref="A20" r:id="rId19" xr:uid="{00000000-0004-0000-0000-000026000000}"/>
    <hyperlink ref="A21" r:id="rId20" xr:uid="{00000000-0004-0000-0000-000028000000}"/>
    <hyperlink ref="A22" r:id="rId21" xr:uid="{00000000-0004-0000-0000-00002A000000}"/>
    <hyperlink ref="A23" r:id="rId22" xr:uid="{00000000-0004-0000-0000-00002C000000}"/>
    <hyperlink ref="A24" r:id="rId23" xr:uid="{00000000-0004-0000-0000-00002E000000}"/>
    <hyperlink ref="A25" r:id="rId24" xr:uid="{00000000-0004-0000-0000-000030000000}"/>
    <hyperlink ref="A26" r:id="rId25" xr:uid="{00000000-0004-0000-0000-000032000000}"/>
    <hyperlink ref="A27" r:id="rId26" xr:uid="{00000000-0004-0000-0000-000034000000}"/>
    <hyperlink ref="A28" r:id="rId27" xr:uid="{00000000-0004-0000-0000-000036000000}"/>
    <hyperlink ref="A29" r:id="rId28" xr:uid="{00000000-0004-0000-0000-000038000000}"/>
    <hyperlink ref="A30" r:id="rId29" xr:uid="{00000000-0004-0000-0000-00003A000000}"/>
    <hyperlink ref="A31" r:id="rId30" xr:uid="{00000000-0004-0000-0000-00003C000000}"/>
    <hyperlink ref="A32" r:id="rId31" xr:uid="{00000000-0004-0000-0000-00003E000000}"/>
    <hyperlink ref="A33" r:id="rId32" xr:uid="{00000000-0004-0000-0000-000040000000}"/>
    <hyperlink ref="A34" r:id="rId33" xr:uid="{00000000-0004-0000-0000-000042000000}"/>
    <hyperlink ref="A35" r:id="rId34" xr:uid="{00000000-0004-0000-0000-000044000000}"/>
    <hyperlink ref="A36" r:id="rId35" xr:uid="{00000000-0004-0000-0000-000046000000}"/>
    <hyperlink ref="A37" r:id="rId36" xr:uid="{00000000-0004-0000-0000-000048000000}"/>
    <hyperlink ref="A38" r:id="rId37" xr:uid="{00000000-0004-0000-0000-00004A000000}"/>
    <hyperlink ref="A39" r:id="rId38" xr:uid="{00000000-0004-0000-0000-00004C000000}"/>
    <hyperlink ref="A40" r:id="rId39" xr:uid="{00000000-0004-0000-0000-00004E000000}"/>
    <hyperlink ref="A41" r:id="rId40" xr:uid="{00000000-0004-0000-0000-000050000000}"/>
    <hyperlink ref="A42" r:id="rId41" xr:uid="{00000000-0004-0000-0000-000052000000}"/>
    <hyperlink ref="A43" r:id="rId42" xr:uid="{00000000-0004-0000-0000-000054000000}"/>
    <hyperlink ref="A44" r:id="rId43" xr:uid="{00000000-0004-0000-0000-000056000000}"/>
    <hyperlink ref="A45" r:id="rId44" xr:uid="{00000000-0004-0000-0000-000058000000}"/>
    <hyperlink ref="A46" r:id="rId45" xr:uid="{00000000-0004-0000-0000-00005A000000}"/>
    <hyperlink ref="A47" r:id="rId46" xr:uid="{00000000-0004-0000-0000-00005C000000}"/>
    <hyperlink ref="A48" r:id="rId47" xr:uid="{00000000-0004-0000-0000-00005E000000}"/>
    <hyperlink ref="A49" r:id="rId48" xr:uid="{00000000-0004-0000-0000-000060000000}"/>
    <hyperlink ref="A50" r:id="rId49" xr:uid="{00000000-0004-0000-0000-000062000000}"/>
    <hyperlink ref="A51" r:id="rId50" xr:uid="{00000000-0004-0000-0000-000064000000}"/>
    <hyperlink ref="A52" r:id="rId51" xr:uid="{00000000-0004-0000-0000-000066000000}"/>
    <hyperlink ref="A53" r:id="rId52" xr:uid="{00000000-0004-0000-0000-000068000000}"/>
    <hyperlink ref="A54" r:id="rId53" xr:uid="{00000000-0004-0000-0000-00006A000000}"/>
    <hyperlink ref="A55" r:id="rId54" xr:uid="{00000000-0004-0000-0000-00006C000000}"/>
    <hyperlink ref="A56" r:id="rId55" xr:uid="{00000000-0004-0000-0000-00006E000000}"/>
    <hyperlink ref="A57" r:id="rId56" xr:uid="{00000000-0004-0000-0000-000070000000}"/>
    <hyperlink ref="A58" r:id="rId57" xr:uid="{00000000-0004-0000-0000-000072000000}"/>
    <hyperlink ref="A59" r:id="rId58" xr:uid="{00000000-0004-0000-0000-000074000000}"/>
    <hyperlink ref="A60" r:id="rId59" xr:uid="{00000000-0004-0000-0000-000076000000}"/>
    <hyperlink ref="A61" r:id="rId60" xr:uid="{00000000-0004-0000-0000-000078000000}"/>
    <hyperlink ref="A62" r:id="rId61" xr:uid="{00000000-0004-0000-0000-00007A000000}"/>
    <hyperlink ref="A63" r:id="rId62" xr:uid="{00000000-0004-0000-0000-00007C000000}"/>
    <hyperlink ref="A64" r:id="rId63" xr:uid="{00000000-0004-0000-0000-00007E000000}"/>
    <hyperlink ref="A65" r:id="rId64" xr:uid="{00000000-0004-0000-0000-000080000000}"/>
    <hyperlink ref="A66" r:id="rId65" xr:uid="{00000000-0004-0000-0000-000082000000}"/>
    <hyperlink ref="A67" r:id="rId66" xr:uid="{00000000-0004-0000-0000-000084000000}"/>
    <hyperlink ref="A68" r:id="rId67" xr:uid="{00000000-0004-0000-0000-000086000000}"/>
    <hyperlink ref="A69" r:id="rId68" xr:uid="{00000000-0004-0000-0000-000088000000}"/>
    <hyperlink ref="A70" r:id="rId69" xr:uid="{00000000-0004-0000-0000-00008A000000}"/>
    <hyperlink ref="A71" r:id="rId70" xr:uid="{00000000-0004-0000-0000-0000A0000000}"/>
    <hyperlink ref="A72" r:id="rId71" xr:uid="{00000000-0004-0000-0000-0000A2000000}"/>
    <hyperlink ref="A73" r:id="rId72" xr:uid="{00000000-0004-0000-0000-0000A4000000}"/>
    <hyperlink ref="A74" r:id="rId73" xr:uid="{00000000-0004-0000-0000-0000A6000000}"/>
    <hyperlink ref="A75" r:id="rId74" xr:uid="{00000000-0004-0000-0000-0000A8000000}"/>
    <hyperlink ref="A76" r:id="rId75" xr:uid="{00000000-0004-0000-0000-0000AA000000}"/>
    <hyperlink ref="A77" r:id="rId76" xr:uid="{00000000-0004-0000-0000-0000AC000000}"/>
    <hyperlink ref="A78" r:id="rId77" xr:uid="{00000000-0004-0000-0000-0000AE000000}"/>
    <hyperlink ref="A79" r:id="rId78" xr:uid="{00000000-0004-0000-0000-0000B0000000}"/>
    <hyperlink ref="A80" r:id="rId79" xr:uid="{00000000-0004-0000-0000-0000B2000000}"/>
    <hyperlink ref="A81" r:id="rId80" xr:uid="{00000000-0004-0000-0000-0000B4000000}"/>
    <hyperlink ref="A82" r:id="rId81" xr:uid="{00000000-0004-0000-0000-0000B6000000}"/>
    <hyperlink ref="A83" r:id="rId82" xr:uid="{00000000-0004-0000-0000-0000B8000000}"/>
    <hyperlink ref="A84" r:id="rId83" xr:uid="{00000000-0004-0000-0000-0000BA000000}"/>
    <hyperlink ref="A85" r:id="rId84" xr:uid="{00000000-0004-0000-0000-0000BC000000}"/>
    <hyperlink ref="A86" r:id="rId85" xr:uid="{00000000-0004-0000-0000-0000BE000000}"/>
    <hyperlink ref="A87" r:id="rId86" xr:uid="{00000000-0004-0000-0000-0000C0000000}"/>
    <hyperlink ref="A88" r:id="rId87" xr:uid="{00000000-0004-0000-0000-0000C2000000}"/>
    <hyperlink ref="A89" r:id="rId88" xr:uid="{00000000-0004-0000-0000-0000C4000000}"/>
    <hyperlink ref="A90" r:id="rId89" xr:uid="{00000000-0004-0000-0000-0000C6000000}"/>
    <hyperlink ref="A91" r:id="rId90" xr:uid="{00000000-0004-0000-0000-0000C8000000}"/>
    <hyperlink ref="A92" r:id="rId91" xr:uid="{00000000-0004-0000-0000-0000CA000000}"/>
    <hyperlink ref="C2" r:id="rId92" xr:uid="{E62CF0FC-5E3F-46B3-827F-6DC8EC7184A1}"/>
    <hyperlink ref="C3" r:id="rId93" xr:uid="{45700C3F-AD47-438F-8EDF-5223667927B9}"/>
    <hyperlink ref="C4" r:id="rId94" xr:uid="{384A5EB6-02B2-44A6-AB66-83D2C732FB79}"/>
    <hyperlink ref="C5" r:id="rId95" xr:uid="{54F69D4A-7B22-419D-BB0E-E4A307A7A76A}"/>
    <hyperlink ref="C6" r:id="rId96" xr:uid="{1A43DB31-C077-4934-A71E-C38252B1D802}"/>
    <hyperlink ref="C7" r:id="rId97" display="https://www.nytimes.com/issue/todayspaper/2020/05/09/todays-new-york-times" xr:uid="{0FEF2C72-D572-40D7-96A6-23C1B6D33423}"/>
    <hyperlink ref="C8" r:id="rId98" display="https://www.cnn.com/interactive/2020/12/us/america-racism-2020/" xr:uid="{3A8441C5-48A5-4793-9EAE-A256B1E16ED5}"/>
    <hyperlink ref="C9" r:id="rId99" display="https://www.cnn.com/interactive/2020/07/world/2020-year-in-review-july/" xr:uid="{A563E159-7B4D-49B0-92A2-CB4C470320A9}"/>
    <hyperlink ref="C10" r:id="rId100" xr:uid="{DF76A072-1526-49C1-8E8C-A79A24643C53}"/>
    <hyperlink ref="C11" r:id="rId101" xr:uid="{A0450013-C2C7-4E28-A4D0-773CCFBA2260}"/>
    <hyperlink ref="C12" r:id="rId102" xr:uid="{23302DC8-8325-4E8F-BE4C-D21D2B68F4BA}"/>
    <hyperlink ref="C13" r:id="rId103" xr:uid="{5BA0C616-0D25-46A8-86DB-131ED4677AD0}"/>
    <hyperlink ref="C14" r:id="rId104" xr:uid="{EF607146-B5E2-49B9-9564-934188146A8C}"/>
    <hyperlink ref="C15" r:id="rId105" xr:uid="{A56B0391-E433-4E7A-BF4F-A10182E9EAD1}"/>
    <hyperlink ref="C16" r:id="rId106" xr:uid="{77352686-B00E-4A2D-A5AE-F0D16FB2AD63}"/>
    <hyperlink ref="C17" r:id="rId107" display="https://www.foxnews.com/politics/trump-demands-special-prosecutor-investigate-massive-2020-election-fraud-evidence" xr:uid="{304C6830-67A8-4486-AE7E-3545DEC4FFB9}"/>
    <hyperlink ref="C18" r:id="rId108" display="https://www.foxnews.com/health/us-deaths-in-2020-top-3-million-by-far-most-ever-counted" xr:uid="{6F667F1D-4B5C-45AE-91B4-7AEB23E1691C}"/>
    <hyperlink ref="C19" r:id="rId109" display="https://www.foxnews.com/science/2020-top-space-stories" xr:uid="{72DCF431-2A80-4528-849D-04044167E84F}"/>
    <hyperlink ref="C20" r:id="rId110" display="https://www.foxnews.com/us/2020-bible-year-christian" xr:uid="{7FEC2692-B42D-4704-ACBF-83CCD6F35FFB}"/>
    <hyperlink ref="C21" r:id="rId111" xr:uid="{AC0022BA-CCF3-4AD8-BD22-0982D1370430}"/>
    <hyperlink ref="C22" r:id="rId112" display="https://www.foxnews.com/elections/2020/general-results" xr:uid="{7BF68E70-A98C-4154-99B4-F345ED767895}"/>
    <hyperlink ref="C23" r:id="rId113" display="https://www.foxnews.com/entertainment/netflix-december-2020" xr:uid="{821056D0-F215-4A38-99F4-CDDB7329A716}"/>
    <hyperlink ref="C24" r:id="rId114" display="https://www.foxnews.com/elections/2020/general-results/voter-analysis" xr:uid="{97FC1FFD-D58F-44A9-B7AD-A98CBCCBBC3C}"/>
    <hyperlink ref="C25" r:id="rId115" display="https://www.foxnews.com/us/america-locked-down-2020s-most-controversial-covid-era-restrictions" xr:uid="{A6C9F319-ED5A-4941-8627-E481E3011658}"/>
    <hyperlink ref="C26" r:id="rId116" display="https://people.com/syndication/record-number-2020-movies-directed-by-women-study/" xr:uid="{DD634F12-1F90-4050-9D59-0004C49CAD83}"/>
    <hyperlink ref="C27" r:id="rId117" display="https://people.com/music/billboard-music-awards-2020-winners-list/" xr:uid="{3B77CC42-CA69-4214-A144-A7E3AAC534A8}"/>
    <hyperlink ref="C28" r:id="rId118" display="https://people.com/tv/top-tv-shows-of-2020/" xr:uid="{35FA5D36-1036-46C4-A23A-3DDF1A1A7BD2}"/>
    <hyperlink ref="C29" r:id="rId119" display="https://people.com/health/5-ways-the-world-changed-on-march-11-2020-covid-19-pandemic/" xr:uid="{472DB279-11EE-4B0A-8E87-941274A4A2AB}"/>
    <hyperlink ref="C30" r:id="rId120" display="https://people.com/tv/everything-coming-netflix-april-2020/" xr:uid="{055787AC-4CBB-4524-A18C-9390ADE7A404}"/>
    <hyperlink ref="C31" r:id="rId121" display="https://people.com/celebrity/people-reveals-2020-people-of-the-year/" xr:uid="{D6FD5C94-8CEA-4E45-B563-6C517F76B935}"/>
    <hyperlink ref="C32" r:id="rId122" display="https://people.com/celebrity/celebrity-splits-of-2020/" xr:uid="{4080DA6E-308F-4952-8759-52496E9BE249}"/>
    <hyperlink ref="C33" r:id="rId123" location="!" display="https://people.com/human-interest/merriam-webster-announces-pandemic-is-its-2020-word-of-the-year/?utm=newsbreak#!" xr:uid="{2BEB2F04-5C40-425F-AFA4-DB3291F47889}"/>
    <hyperlink ref="C34" r:id="rId124" display="https://people.com/tv/emmys-2020-best-family-moments/" xr:uid="{19AFAA2B-D234-4177-9363-BAC9171A0B37}"/>
    <hyperlink ref="C35" r:id="rId125" display="https://people.com/celebrity/top-20-stories-of-2020-people/" xr:uid="{F7E6C997-CF72-48E4-BA35-176FF9737905}"/>
    <hyperlink ref="C36" r:id="rId126" xr:uid="{D036FC6B-1BE2-4D1C-A379-54BE8AF30BBD}"/>
    <hyperlink ref="C37" r:id="rId127" xr:uid="{4E3678FD-6E06-4125-B4BB-9F78ABF65B6A}"/>
    <hyperlink ref="C38" r:id="rId128" xr:uid="{F9FB7232-D648-4809-9E1B-2F09C47F7CD3}"/>
    <hyperlink ref="C39" r:id="rId129" xr:uid="{EB6A8E8C-5D28-4333-8B20-137DF9CA3370}"/>
    <hyperlink ref="C40" r:id="rId130" display="https://nypost.com/2020/12/01/" xr:uid="{A38A263B-78B0-4A3C-A3C8-AE64E6395F2E}"/>
    <hyperlink ref="C41" r:id="rId131" xr:uid="{71568928-4BC9-4879-9F73-529DB6ABB86C}"/>
    <hyperlink ref="C42" r:id="rId132" xr:uid="{F1F8222E-F847-4629-88C8-05063DD5ABA6}"/>
    <hyperlink ref="C43" r:id="rId133" xr:uid="{E55C5D56-2743-4AB7-9818-C83F669FC4A8}"/>
    <hyperlink ref="C44" r:id="rId134" xr:uid="{6FD363BC-6DBD-4169-B48A-D39360B7AEEF}"/>
    <hyperlink ref="C45" r:id="rId135" display="https://www.usatoday.com/story/news/nation/2019/12/22/2020-predictions-decades-ago-self-driving-cars-mars-voting/2594825001/" xr:uid="{1DE509F5-95F9-4FDE-9653-43C178A070D3}"/>
    <hyperlink ref="C46" r:id="rId136" display="https://ftw.usatoday.com/story/opinion/columns/2020/12/29/remembering-2020-covid-heartbreak-defined-year-but-2021-brings-hope/4053997001/" xr:uid="{8FD3A667-BBD7-45E3-BE27-D30F11FFDBB4}"/>
    <hyperlink ref="C47" r:id="rId137" display="https://www.usatoday.com/story/life/2020/09/11/is-halloween-canceled-2020-parents-and-cities-hope-not-medical-experts-warn-threat-of-coronavirus/5762685002/" xr:uid="{6D4455D6-7075-49BE-81C1-4B3C3E2E3435}"/>
    <hyperlink ref="C48" r:id="rId138" display="https://www.usatoday.com/story/life/2020/07/29/100-good-things-from-2020-positive-stories-news/3257222001/" xr:uid="{FACE2D0C-672C-4920-BF23-17969DC0FD45}"/>
    <hyperlink ref="C49" r:id="rId139" display="https://www.usatoday.com/story/entertainment/movies/2020/12/23/best-movies-2020-watch-now/3863308001/" xr:uid="{37AAD577-EC4E-4EBF-B27B-E1DA416C7AD5}"/>
    <hyperlink ref="C50" r:id="rId140" display="https://www.usatoday.com/story/news/nation/2025/03/11/covid-march-11-2020-news-events/82227555007/" xr:uid="{34941064-AB94-4132-8987-C92134EB434C}"/>
    <hyperlink ref="C51" r:id="rId141" display="https://www.usatoday.com/story/news/politics/elections/2024/11/05/how-long-did-the-2020-election-last/76081315007/" xr:uid="{5A0D3274-73C1-4182-A4FB-73DF65841208}"/>
    <hyperlink ref="C52" r:id="rId142" display="https://www.usatoday.com/story/life/2020/04/14/2020-canceled-coronavirus-makes-year-things-didnt-happen/2992020001/" xr:uid="{EF6558DB-B6DF-4EDD-A247-0391CB89AD72}"/>
    <hyperlink ref="C53" r:id="rId143" xr:uid="{0D36E06E-BA61-46EC-9E0C-915DD6665E60}"/>
    <hyperlink ref="C54" r:id="rId144" xr:uid="{CE26480F-FEB9-434F-80C9-7BC2B83D8C59}"/>
    <hyperlink ref="C55" r:id="rId145" xr:uid="{9AEBB121-3176-4930-B87B-26313A83EFFC}"/>
    <hyperlink ref="C56" r:id="rId146" xr:uid="{9F948C9F-CFE7-41E2-8E4D-73D89DA0C7BE}"/>
    <hyperlink ref="C57" r:id="rId147" xr:uid="{EBF13C2C-25D8-4B38-9996-D5BE8D1BF8E9}"/>
    <hyperlink ref="C58" r:id="rId148" xr:uid="{B5FE155E-A5CD-4969-8AE1-1511C9FC323A}"/>
    <hyperlink ref="C59" r:id="rId149" xr:uid="{23D22CA1-1C02-44C4-8283-6EE56CC2B5E7}"/>
    <hyperlink ref="C60" r:id="rId150" xr:uid="{6CE43F24-7FFB-406B-9184-B8536ECC23E7}"/>
    <hyperlink ref="C61" r:id="rId151" xr:uid="{5E03E54A-4E18-42AE-A5A5-CEC1B422C1EC}"/>
    <hyperlink ref="C62" r:id="rId152" xr:uid="{424D6623-ED30-4EF9-8131-803B71B320E9}"/>
    <hyperlink ref="C63" r:id="rId153" display="https://www.dailykos.com/stories/2024/11/6/2283328/-Trump-received-less-votes-than-2020-and-he-still-won" xr:uid="{247CF921-05C7-487C-A6B0-6ACE58EFF335}"/>
    <hyperlink ref="C64" r:id="rId154" display="https://www.dailykos.com/stories/2021/2/22/2017070/-Morning-Digest-We-ve-finished-calculating-the-2020-presidential-results-for-every-House-district" xr:uid="{45C992C5-0DB6-4EA8-B45B-DCC5DEFB383D}"/>
    <hyperlink ref="C65" r:id="rId155" display="https://www.dailykos.com/stories/2025/3/14/2310155/-This-state-wants-to-brainwash-kids-about-Trump-s-2020-election-lie" xr:uid="{54985383-ACA6-4138-813A-A32E8A66DF3F}"/>
    <hyperlink ref="C66" r:id="rId156" display="https://www.dailykos.com/stories/2021/3/21/2022085/-2020-s-Top-10-Countries-in-the-Global-EV-Revolution" xr:uid="{F3BF56A0-4A8D-40B4-84EA-769F8DD4453F}"/>
    <hyperlink ref="C67" r:id="rId157" display="https://www.dailykos.com/stories/2020/1/14/1855760/-Daily-Kos-Elections-2020-primary-calendar" xr:uid="{360860AE-0A6C-4D20-9052-E5DAF9AABA6C}"/>
    <hyperlink ref="C68" r:id="rId158" display="https://www.dailykos.com/stories/2022/9/7/2121191/-Daily-Kos-Elections-announces-publication-of-2020-presidential-results-for-new-House-districts" xr:uid="{017DD92A-59F8-4298-A336-0AD7C6C5A8B7}"/>
    <hyperlink ref="C69" r:id="rId159" display="https://www.dailykos.com/stories/2020/1/8/1910007/-Check-out-our-demographics-guide-for-every-2020-general-election-candidate-for-Congress-and-governor" xr:uid="{B1046527-3F48-487E-943A-D1B60A5BEB30}"/>
    <hyperlink ref="C70" r:id="rId160" display="https://www.dailykos.com/stories/2024/10/3/2274479/-You-Didn-t-Hear-TFG-Called-2020-Attack-on-US-Soldiers-a-very-nice-thing" xr:uid="{1DDEBC62-DAEF-443A-A049-B830C32FFEBC}"/>
    <hyperlink ref="C71" r:id="rId161" xr:uid="{7E4729A6-0E85-46A2-973B-1E45C0614327}"/>
    <hyperlink ref="C72" r:id="rId162" xr:uid="{E3BC67EB-BAE8-499C-BA87-68A36A7A1EE1}"/>
    <hyperlink ref="C73" r:id="rId163" xr:uid="{3311A698-951C-4B4B-B885-A013A0E6D55D}"/>
    <hyperlink ref="C74" r:id="rId164" xr:uid="{5F655973-44B4-45FA-B44A-2DCA3EF63502}"/>
    <hyperlink ref="C75" r:id="rId165" xr:uid="{7294D143-23D7-485B-97AE-34F739FF6D99}"/>
    <hyperlink ref="C76" r:id="rId166" xr:uid="{903DDBDD-014D-4EBA-9759-BA77B0DE00F3}"/>
    <hyperlink ref="C77" r:id="rId167" xr:uid="{2F74E771-9BFF-4AC1-BAC5-04EC376E498D}"/>
    <hyperlink ref="C78" r:id="rId168" xr:uid="{A011D1AD-A98C-4B47-8D41-28B44E5D9863}"/>
    <hyperlink ref="C79" r:id="rId169" xr:uid="{95389B24-F47C-47CE-A521-36443866B913}"/>
    <hyperlink ref="C80" r:id="rId170" xr:uid="{40194726-3D90-4943-9729-60F01556DB27}"/>
    <hyperlink ref="C81" r:id="rId171" xr:uid="{45AEF253-1801-477C-82B7-D18FC5D27072}"/>
    <hyperlink ref="C82" r:id="rId172" xr:uid="{B9BD5835-0C96-4C7D-8599-3A3C0808E41D}"/>
    <hyperlink ref="C83" r:id="rId173" xr:uid="{4130EA6E-280F-47B5-A7ED-0688609FCCBD}"/>
    <hyperlink ref="C84" r:id="rId174" xr:uid="{A0F03BEE-2DBF-4A37-ADF0-8C9B17A4F649}"/>
    <hyperlink ref="C85" r:id="rId175" xr:uid="{A002A7AB-5F44-42F4-B762-BCFD74AE5C54}"/>
    <hyperlink ref="C86" r:id="rId176" xr:uid="{5CDCDB7A-584B-4457-89F7-970E9C0AD7DB}"/>
    <hyperlink ref="C87" r:id="rId177" xr:uid="{C7182389-DA36-4FB4-AF8C-8653AF397839}"/>
    <hyperlink ref="C88" r:id="rId178" xr:uid="{3017DAE2-B4E5-4234-A562-CAE9377D4FB7}"/>
    <hyperlink ref="C89" r:id="rId179" xr:uid="{5435D3C2-6F9C-4BC8-83AC-F3772F0625F4}"/>
    <hyperlink ref="C90" r:id="rId180" xr:uid="{AFF0953D-217B-4D40-B6B6-9B8C2282CFD3}"/>
    <hyperlink ref="C91" r:id="rId181" xr:uid="{6C81EAE4-1AA6-430C-BA41-E6BA2217DB43}"/>
    <hyperlink ref="C92" r:id="rId182" xr:uid="{F4D75FB4-BD7B-4495-AD0A-17102AA98E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Abhiram Gorle</dc:creator>
  <cp:lastModifiedBy>Abhiram Gorle</cp:lastModifiedBy>
  <dcterms:created xsi:type="dcterms:W3CDTF">2025-09-16T00:16:03Z</dcterms:created>
  <dcterms:modified xsi:type="dcterms:W3CDTF">2026-02-13T00:28:30Z</dcterms:modified>
</cp:coreProperties>
</file>