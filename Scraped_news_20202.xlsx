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L\LLMS\"/>
    </mc:Choice>
  </mc:AlternateContent>
  <xr:revisionPtr revIDLastSave="0" documentId="13_ncr:1_{9708EB89-4A9A-485D-910C-B2D3F55AEA7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workbook>
</file>

<file path=xl/calcChain.xml><?xml version="1.0" encoding="utf-8"?>
<calcChain xmlns="http://schemas.openxmlformats.org/spreadsheetml/2006/main">
  <c r="B92" i="1" l="1"/>
  <c r="B91" i="1"/>
  <c r="B90" i="1"/>
  <c r="B89" i="1"/>
  <c r="B88" i="1"/>
  <c r="B87" i="1"/>
  <c r="B86" i="1"/>
  <c r="B85" i="1"/>
  <c r="B84" i="1"/>
  <c r="B83" i="1"/>
  <c r="B82" i="1"/>
  <c r="B81" i="1"/>
  <c r="B80" i="1"/>
  <c r="B79" i="1"/>
  <c r="B78" i="1"/>
  <c r="B77" i="1"/>
  <c r="B76" i="1"/>
  <c r="B75" i="1"/>
  <c r="B74" i="1"/>
  <c r="B73" i="1"/>
  <c r="B72" i="1"/>
  <c r="B71" i="1"/>
</calcChain>
</file>

<file path=xl/sharedStrings.xml><?xml version="1.0" encoding="utf-8"?>
<sst xmlns="http://schemas.openxmlformats.org/spreadsheetml/2006/main" count="376" uniqueCount="296">
  <si>
    <t>Source</t>
  </si>
  <si>
    <t>Headline</t>
  </si>
  <si>
    <t>Date</t>
  </si>
  <si>
    <t>Body</t>
  </si>
  <si>
    <t>Word Count</t>
  </si>
  <si>
    <t>URL</t>
  </si>
  <si>
    <t>nytimes.com</t>
  </si>
  <si>
    <t>2020: The Year in Visual Stories and Graphics</t>
  </si>
  <si>
    <t>2020-12-30T21:27:45-05:00</t>
  </si>
  <si>
    <t>In a year with so many world-shaking moments, our strongest visual stories coveredimpeachment,outbreak,caucuses,primaries,donations,dele­gates,shutdown,jobs,deaths,coughing,hos­pitals,test­ing,George Floyd,protests,tear gas,dreams,nursing homes,po­licing,the election,stimulus,symptoms,Beirut,power,the Supreme Court,ballots,wildfires,Trump’s taxes,turn­out,swing states,masks,re­sults,A.I.,voter shifts,I.C.U.s,pollut­ion andvaccines.2020: The Year in Visual Stories and Graphics.
 Produced by Sarah Almukhtar and Rumsey Taylor. Additional work by Josh Williams.</t>
  </si>
  <si>
    <t>https://www.nytimes.com/interactive/2020/12/30/us/2020-year-in-graphics.html</t>
  </si>
  <si>
    <t>2020: The Year in Sports When Everybody Lost</t>
  </si>
  <si>
    <t>2020-12-13T22:05:20-05:00</t>
  </si>
  <si>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</si>
  <si>
    <t>https://www.nytimes.com/interactive/2020/12/13/sports/coronavirus-sports-economy-wisconsin.html</t>
  </si>
  <si>
    <t>Presidential Election Results 2020: Biden Wins</t>
  </si>
  <si>
    <t>2020-11-03T17:56:16.000Z</t>
  </si>
  <si>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</si>
  <si>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r>
      <rPr>
        <u/>
        <sz val="11"/>
        <color rgb="FF1155CC"/>
        <rFont val="Calibri, sans-serif"/>
      </rPr>
      <t>https://www.nytimes.com/interactive/2020/11/03/us/elections/results-president.html</t>
    </r>
  </si>
  <si>
    <t>Florida Election Results</t>
  </si>
  <si>
    <t>2020-11-03T17:00:00.000Z</t>
  </si>
  <si>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</si>
  <si>
    <t>https://www.nytimes.com/interactive/2020/11/03/us/elections/results-florida.html</t>
  </si>
  <si>
    <t>2020 Presidential Election Calendar</t>
  </si>
  <si>
    <t>2019-05-13T09:00:02.000Z</t>
  </si>
  <si>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</si>
  <si>
    <t>https://www.nytimes.com/interactive/2019/us/elections/2020-presidential-election-calendar.html</t>
  </si>
  <si>
    <t>Today’s Paper</t>
  </si>
  <si>
    <t>The U.S. jobless rate for April is put at 14.7 percent, with 20.5 million jobs lost, figures that almost certainly understate the economic devastation.
 ByNelson D. SchwartzBen CasselmanandElla Koeze
 The shooting death of Ahmaud Arbery has renewed criticism of the police agency that released the two suspects. They were charged by the state months later.
 ByRick RojasRichard FaussetandSerge F. Kovaleski
 The Justice Department’s move was the latest example of the attorney general’s effort to chisel away at the special counsel investigation and emphasize an alternate narrative.
 If it is so hard to maintain a healthy environment at 1600 Pennsylvania Avenue, then how can businesses across the country establish a safe space for their workers?
 More than three times as many people may have died from Covid-19 in Mexico City than federal statistics show, according to a Times analysis.
 As shopping centers emptied, shows were canceled and office towers turned dark, millions of people suddenly found themselves without jobs.</t>
  </si>
  <si>
    <t>https://www.nytimes.com/issue/todayspaper/2020/05/09/todays-new-york-times</t>
  </si>
  <si>
    <t>cnn.com</t>
  </si>
  <si>
    <t>The year America confronted racism</t>
  </si>
  <si>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</si>
  <si>
    <t>https://www.cnn.com/interactive/2020/12/us/america-racism-2020/</t>
  </si>
  <si>
    <t>2020 has changed everything. And itâs only half over</t>
  </si>
  <si>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</si>
  <si>
    <t>https://www.cnn.com/interactive/2020/07/world/2020-year-in-review-july/</t>
  </si>
  <si>
    <t>Exclusive: US intelligence spotted Chinese, Iranian deepfakes in 2020 aimed at influencing US voters</t>
  </si>
  <si>
    <t>2024-05-15T08:00:02.945Z</t>
  </si>
  <si>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</si>
  <si>
    <t>https://www.cnn.com/2024/05/15/politics/us-intelligence-china-iran-deepfakes-2020-election</t>
  </si>
  <si>
    <t>2020 was the year of scary bugs, and 2021 will be even worse</t>
  </si>
  <si>
    <t>2020-12-30T14:14:47Z</t>
  </si>
  <si>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</si>
  <si>
    <t>https://www.cnn.com/2020/12/30/us/2021-murder-hornets-cicadas-scary-bugs-trnd/index.html</t>
  </si>
  <si>
    <t>These were CNN’s top 100 digital stories of 2020</t>
  </si>
  <si>
    <t>2020-12-23T12:32:09Z</t>
  </si>
  <si>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</si>
  <si>
    <t>https://www.cnn.com/2020/12/23/us/top-100-digital-stories-2020-trnd</t>
  </si>
  <si>
    <t>2020’s alternative universe is not going away</t>
  </si>
  <si>
    <t>2021-01-03T05:02:23Z</t>
  </si>
  <si>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</si>
  <si>
    <t>https://www.cnn.com/2021/01/03/uk/covid-19-conspiracy-theories-2020-intl-gbr</t>
  </si>
  <si>
    <t>Tax Day is Monday. Here’s everything you need to know about filing your 2020 taxes</t>
  </si>
  <si>
    <t>2021-05-16T15:21:15Z</t>
  </si>
  <si>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</si>
  <si>
    <t>https://www.cnn.com/2021/05/16/success/2020-taxes-deadline-information-feseries</t>
  </si>
  <si>
    <t>The year of reckoning: How 2020 revealed the fault lines in American policing</t>
  </si>
  <si>
    <t>2020-12-18T21:12:29Z</t>
  </si>
  <si>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</si>
  <si>
    <t>https://www.cnn.com/2020/12/18/us/police-reform-year-of-reckoning-blm-invs</t>
  </si>
  <si>
    <t>2020 In Review Fast Facts</t>
  </si>
  <si>
    <t>2020-12-10T21:47:22Z</t>
  </si>
  <si>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</si>
  <si>
    <t>https://www.cnn.com/2020/12/10/us/2020-in-review-fast-facts</t>
  </si>
  <si>
    <t>foxnews.com</t>
  </si>
  <si>
    <t>Trump demands special prosecutor investigate 'stolen' 2020 election, loss to Biden</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</si>
  <si>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U.S. Border Patrol chief Michael Banks joins ‘Fox &amp; Friends’ to discuss stunning data regarding illegal immigration under the leadership of the Trump administration compared to the Biden administration.
 President Donald Trump has called for a special prosecutor to be appointed to investigate the 2020 presidential election, which he has long maintained was rigged against him and in favor of Joe Biden.
 In a fiery Truth Social post Friday, Trump praised his administration for cutting border crossings to zero in May compared to theBiden administration, which oversaw the release of 62,000 migrants into the country during the same time last year.
 Trump said it was incomprehensible a president could oversee such an influx of illegal immigration and then took aim at the 2020 election.
 President Donald Trump June 15, 2025(Tasos Katopodis/Getty Images)
 "Zero Border crossings for the month for TRUMP, verses 60,000 for Sleepy, Crooked Joe Biden, a man who lost the 2020 Presidential Election by a "LANDSLIDE!" Trump wrote.
 "Biden was grossly incompetent and the 2020 election was a total FRAUD! The evidence is MASSIVE and OVERWHELMING. A Special Prosecutor must be appointed."
 Trump has argued for years that a series of alleged misdeeds led to Joe Biden's 2020 victory. In the lead-up to the Jan. 6, 2021, certification of the Electoral College results, several pro-Trump marches were held, culminating in aviolent riot at the U.S. Capitol.
 TWO MEN CONVICTED IN PENNSYLVANIA MAYORAL RACE ELECTION FRAUD CASE HIT WITH HARSHER SENTENCES THAN EXPECTED
 Trump and his supporters failed to convince Vice President Mike Pence to delay the certification by sending the results back to key battleground states’ legislatures to allow for further investigation or the consideration of alternate slates of electors.
 Pence rejected the demands,arguing that the Constitution did not give the vice president authority to decide which electoral votes to count.
 Trump and his allies filed dozens of lawsuits challenging the results in various states. Most lawsuits failed due to what judges determined was a lack of standing or insufficient evidence. Biden secured 306 electoral votes with 81.2 million votes compared to Trump's 232 electoral votes and 74.2 million votes.
 A scene from the Jan. 6, 2021, Capitol riot. Trump has argued for years that a series of alleged misdeeds led to Joe Biden's 2020 victory.(AP Photo/Jose Luis Magana, File)
 RED STATE AG INVESTIGATING MORE THAN 30 POTENTIAL NONCITIZENS WHO VOTED IN 2024 ELECTION
 The president has made a variety of claims to support his assertion that the 2020 election was "stolen."
 Trump has argued that ballot harvesting "mules" deposited ballots at late-night ballot drops after deadlines in key swing states.
 He made the claims central to his 2024 re-election bid, often using the slogan "too big to rig" to urge supporters to turn out in force and overcome what he described as a rigged or unfair system.
 "This cannot be allowed to happen again in the United States of America!"Trump saidin the post Friday.
 "Let the work begin! What this Crooked man, and his CORRUPT CRONIES, have done to our Country in 4 years, is grossly indescribable! MAKE AMERICA GREAT AGAIN!"
 Trump’s attorney general in 2020, Bill Barr, said there no was evidence of fraud that could have affected the outcome, and the Department of Homeland Security’s cybersecurity arm pronounced the election "the most secure in American history."
 A worker at the Fulton County Board of Registration and Elections works to process absentee ballots at State Farm Arena Nov. 2, 2020, in Atlanta.(AP Photo/John Bazemore)
 It was unclear who Trump had in mind for a special prosecutor, but in the event Attorney General Pam Bondi heeds his call, she may face pressure to appoint someone who has already been confirmed by the Senate.
 The Justice Department in recent years has appointed a succession of special counsels — sometimes, though not always, plucked from outside the agency — to lead investigations into politically sensitive matters, including conduct by Biden and by Trump.
 The Associated Press contributed to this report.
 Michael Dorgan is a writer for Fox News Digital and Fox Business.
 You can send tips to michael.dorgan@fox.com and follow him on Twitter @M_Dorgan.
 Get the latest updates from the 2024 campaign trail, exclusive interviews and more Fox News politics content.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</si>
  <si>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https://www.foxnews.com/politics/trump-demands-special-prosecutor-investigate-massive-2020-election-fraud-evidence</t>
  </si>
  <si>
    <t>US deaths in 2020 top 3 million, by far most ever counted</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</si>
  <si>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</si>
  <si>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https://www.foxnews.com/health/us-deaths-in-2020-top-3-million-by-far-most-ever-counted</t>
  </si>
  <si>
    <t>2020 in review: Top space stories of the year</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</si>
  <si>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</si>
  <si>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https://www.foxnews.com/science/2020-top-space-stories</t>
  </si>
  <si>
    <t>2020 is the 'Year of the Bible' for many Christians</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</si>
  <si>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</si>
  <si>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https://www.foxnews.com/us/2020-bible-year-christian</t>
  </si>
  <si>
    <t>Fox News</t>
  </si>
  <si>
    <t>Presidential Election Results</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</si>
  <si>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Maine and Nebraska allocate their Electoral Votes using the Congressional District Method. Two votes go to the overall state vote outcome and one vote is allocated to each district.
 Senate seats are up for election once every six years. There are 35 seats up for this year's Senate elections including special elections in Arizona and Georgia. The Democrats need to flip four seats to gain control. The Republicans need to retain at least 21 seats to keep control.
 All 435 House seats are up for election every two years. The Democrats gained control from the 2018 Midterm Elections with 232 seats. The Republicans need to flip 21 seats to gain control.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</si>
  <si>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https://www.foxnews.com/elections/2020/general-results</t>
  </si>
  <si>
    <t>Everything coming to and leaving Netflix in December 2020</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</si>
  <si>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</si>
  <si>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https://www.foxnews.com/entertainment/netflix-december-2020</t>
  </si>
  <si>
    <t>Voter Analysis | Elections 2020 | Fox News</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</si>
  <si>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The Fox News Voter Analysis, conducted in partnership with the Associated Press, provides a comprehensive look at voting behavior, opinions and preferences as America votes. With more voters than ever voting early or by mail, the new method overcomes the limitations of in-person exit polls and captures the views of all Americans. It is based on surveys of the American electorate conducted by NORC at the University of Chicago with voting results from The Associated Press. For the 2020 General Election, the FNVA results are based on a probability sample of registered voters drawn from state voter files, samples of self-identified registered voters from a probability-based national panel, and samples of self-identified registered voters from opt-in online panels. The FNVA survey of the American electorate was conducted in all 50 states, October 26 to November 3, concluding at the end of voting on Election Day.Full Methodology Statement: November 3, 2020 Presidential Election
 Full Methodology Statement: January 5, 2021 GA Senate Runoff Election
 How to read these tables:The percentages to the right of each answer show the proportion of the electorate in that subgroup. When an answer is expanded by clicking on the +, the candidates' support among that subgroup is revealed. The percentages to the right of each listed candidate show how the particular subgroup of voters divided its vote.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</si>
  <si>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https://www.foxnews.com/elections/2020/general-results/voter-analysis</t>
  </si>
  <si>
    <t>America locked down: 2020's most controversial coronavirus-era restrictions</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</si>
  <si>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</si>
  <si>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https://www.foxnews.com/us/america-locked-down-2020s-most-controversial-covid-era-restrictions</t>
  </si>
  <si>
    <t>people.com</t>
  </si>
  <si>
    <t>Record number of 2020 films were directed by women, study finds</t>
  </si>
  <si>
    <t>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t>
  </si>
  <si>
    <t>https://people.com/syndication/record-number-2020-movies-directed-by-women-study/</t>
  </si>
  <si>
    <t>Billboard Music Awards 2020: See the Complete List of Winners</t>
  </si>
  <si>
    <t>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t>
  </si>
  <si>
    <t>https://people.com/music/billboard-music-awards-2020-winners-list/</t>
  </si>
  <si>
    <t>PEOPLE Picks the Top TV Shows of 2020</t>
  </si>
  <si>
    <t>Because we all watched a lot of it this year
 Tom Gliatto reviews the latest TV and movie releases for PEOPLE Magazine. He also writes many of the magazine's celebrity tributes.
 If you're anything like us, you've spent most of the past nine months of quarantine on the couch at night, checking out the latest small-screen hits. And thankfully, there were a lot of them. Despite the production shutdown earlier in the year, Hollywood managed to churn out myriad addictive shows, touching on everything from chess and the royal family to Michael Jordan and yes, a tiger king.
 Here, PEOPLE's 18 favorites series and mini-series of the year, all streaming now. And see more of PEOPLE's best in music, movies and books in this week's issue, on newsstands Friday.
 Chess probably isn't the chief reason this Netflix series about the world's greatest woman player (Emma's Anya Taylor-Joy) became a hit. Across seven beautifully tailored and upholstered episodes, Gambit, based on a book by Walter Tevis, was the year's sterling example of how episodic TV has become the new novel — a relaxing way to occupy the mind for hours and hours, chapter by chapter. (Netflix)
 You can think of this as a miniseries of five separate films — all directed with impressive assurance by Steve McQueen — about London's West Indian community. Standouts: "Mangrove," which culminates in a terrific court scene, and the sensual "Lovers Rock," about a house party. (Amazon)
 This series reimagined the gory fantasies of writer H.P. Lovecraft, an avowed racist, in terms of Black experience. If that sounds like a thesis proposal, the result wasn't. Scary! (HBO)
 Cate Blanchett gave a fascinating performance — immaculately arch — as conservative leader Phyllis Schlafly, a powerful political operator who thought a woman's place was in the home. In the end, that irony stings Mrs. Schlafly badly. (FX onHulu)
 The surprise hit, which grew out of a character Jason Sudeikis created to promote British soccer for NBC sports, gave us the hero we needed in a bleak year. Ted Lasso, an American football coach hired to oversee a soccer team in the U.K., was a chortling, easygoing nice guy — a fish out of water only too willing to get in the swim of things. Isn't he how we used to like to think of ourselves? (Apple TV+)
 How the late Michelle McNamara — who was comedian Patton Oswalt's wife — tracked the notorious Golden State Killer. A classic of the cold-case genre. (HBO)
 Season 4 gave us the wedding of guileless fawn Diana (Emma Corrin) and dunderheadPrince Charles(Josh O'Connor). What the public embraced as happily-ever-after was wretched-from-the-get-go. (Netflix)
 Lockdown's must-see show was the story of one Joe Exotic, owner of an exotic-animal park, and his nemesis, animal-rescue advocate Carole Baskin. She wound up onDancing with the Stars. (Netflix)
 Haunting in its understatement, Normal was about the endlessly evolving, sometimes anguished romance of two young Irish lovers, beautifully played by newcomers Paul Mescal and Daisy Edgar-Jones. (Hulu)
 Michaela Coel, an actress of stunning boldness, also created and wrote this unsettling series about a woman who was drugged and raped. (HBO)
 The HBO docuseries about the $24 million McDonald's Monopoly promotion scam that ran between 1989 and 2001 had unexpected twists at every turn and a charismatic featured interviewee other docuseries could only dream about in FBI agent Doug Mathews, who shares his experience with boundless humor and enthusiasm. (HBO)
 At 10 hours, this documentary about Michael Jordan and the Chicago Bulls is a mammoth project — a real basketballapalooza — but it's thoroughly watchable and highly informative. At the center, of course, is the charismatic Jordan, described as "the ultimate sports alpha male." (Jordan is generally spoken of in the most extravagant terms and never ironically.)Danceis also a fascinating primer on how management operates, how court strategy is developed and how a team is built — and, as its players age out, rebuilt. (Netflix)
 The coming of age series, created by Mindy Kaling, followed an Indian American high school student struggling to cope with the recent death of her father, all narrated by tennis player John McEnroe. The Asian stereotype-busting series is equally hilarious and heartbreaking, buoyed further by Maitreyi Ramakrishnan's star turn. (Netflix)
 Nicole Kidman, as a Manhattan therapist with an unusually large wardrobe of brocaded dresses and coats, suspects her husband (Hugh Grant) of murder. An enjoyably improbable but addictive thriller with a bangup finish. (HBO)
 The famous legal-detection hero, played by Raymond Burr on a hit TV series 50 years ago, gets a reboot in this streamy, sordid L.A. noir set in the 1930s.The Americans'Matthew Rhys, troubled and tousled but tenacious, takes over as Mr. Mason. (HBO)
 EssentiallyBreaking Badin a Missouri vacation setting,Ozarkkeeps getting better and better — sharper, more nail-bitingly brutal. Season 3's climax was a real shocker, and points season 4 in a dangerous new direction. (Netflix)
 An outlandish docuseries, tawdry but true, about how the victims of a con-man Lothario banded together to confront him and bring him to justice. (Showtime)
 An adorable series, very gently broaching serious issues, about a group of enterprising middle school girls. (Netflix)</t>
  </si>
  <si>
    <t>https://people.com/tv/top-tv-shows-of-2020/</t>
  </si>
  <si>
    <t>5 Ways the World Changed on March 11, 2020, When COVID-19 Was Declared a Pandemic</t>
  </si>
  <si>
    <t>Though we were very aware of COVID-19's presence by March 11, 2020, a lot happened to change the course of the year on that historic day
 Kate Hogan is Director of Digital Specials and Features at PEOPLE. She has been working at PEOPLE since 2008.
 A lot had already been happening around the world by the time the World Health Organization officiallydeclared COVID-19 a global pandemic: people in China and Italy were getting diagnosed and dying at alarming rates, and more than 1,000 Americans had been diagnosed, with 31 dead in the United States. Though the WHO said declaring a pandemic didn't change the way the organization was approaching COVID-19 or how countries approached it,they did urge countriesaffected to "detect, test, treat, isolate, trace, and mobilize their people in the response."
 Late at night on the 11th of March, pop culture entered the picture when Tom Hanks and Rita Wilson, in Australia to film his latest movie, announced they'dbeen diagnosed with COVID-19. "We felt a bit tired, like we had colds, and some body aches. Rita had some chills that came and went. Slight fevers too," Hanks, then 63, wrote in an Instagram post. "Well, now. What to do next? The Medical Officials have protocols that must be followed. We Hanks' will be tested, observed, and isolated for as long as public health and safety requires. Not much more to it than a one-day-at-a-time approach, no? We'll keep the world posted and updated. Take care of yourselves!"
 Following the announcement that Utah Jazz player Rudy Gobert tested positive for coronavirus on March 11, his team's evening game was canceled and following the rest of the night's play,the NBA came to a halt. "The NBA will use this hiatus to determine next steps for moving forward in regard to the coronavirus pandemic," a statement from the league shared on Twitter concluded. Days prior, Gobert On Monday, Gobert appeared to poke fun at the virus during a press conference when he leaned over and touched all of the microphones and recorders following his interview, not knowing at the time he was positive.
 Though then-President Trump had already banned travel from China in late January, on March 11,he announced a 30-day ban on travelfrom Europe to the United States. The restrictions did not apply to legal permanent residents and immediate family members of U.S. citizens. "These restrictions will be adjusted subject to conditions on the ground," he added. "There will be exemptions for Americans who have undergone appropriate screenings." With just days to return home, Americans abroad scrambled back to U.S. airports, causing bottlenecks at customs.
 Though most U.S. cases and deaths were coming from the West Coast,New York was slowly becoming the epicenter of the virus,with 50 cases in the town of New Rochelle linking back to one COVID-positive attorney. The National Guard was deployed to the town, about 25 miles outside of New York City, to help with cleaning and other necessary aid that would help prevent further spread.</t>
  </si>
  <si>
    <t>https://people.com/health/5-ways-the-world-changed-on-march-11-2020-covid-19-pandemic/</t>
  </si>
  <si>
    <t>Everything Coming to Netflix in April 2020, including Mindy Kaling's 'Never Have I Ever'</t>
  </si>
  <si>
    <t>The Willoughbys,featuring voices from Alessia Cara, Maya Rudolph, and Terry Crews, is available April 22
 Netflix is about to make your next month of social distancing a whole lot easier.
 On Tuesday, the streaming service announced all the movies and shows coming to the platform in April, and it’s jam-packed with content to keep you busy whileyou’re stuck at homethanks tocoronavirus.
 Go on a family adventure withThe Willoughbys(available April 22), an animated comedy featuring the voices ofAlessia Cara,Maya Rudolph,Terry Crews, andRicky Gervais, or watch hilarious baking fails onNailed It!: Season 4, available April 1.
 Other highlights next month includeNever Have I Ever(available April 27), a coming-of-age comedy series, inspired byMindy Kaling‘s childhood, about an Indian-American teenage girl;Love Wedding Repeat(available April 10), a Netflix original movie starringSam ClafinandOlivia Munnthat watches the same wedding unfold over and over as an older brother tries to give his little sister the perfect wedding day; andCoffee &amp; Kareem(available April 3), an action-comedy that follows a police officer (Ed Helms) and his new girlfriend (Taraji P. Henson) as her son plots their break-up.
 Check out the full list of titles and premiere dates below.
 Pokémon the Series: Sun &amp; Moon: S3: Sun &amp; Moon – Ultra Legends
 Violet Evergarden: Eternity and the Auto Memory Doll</t>
  </si>
  <si>
    <t>https://people.com/tv/everything-coming-netflix-april-2020/</t>
  </si>
  <si>
    <t>PEOPLE Reveals Its People of the Year: George Clooney, Regina King, Dr. Anthony Fauci &amp; Selena Gomez</t>
  </si>
  <si>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</si>
  <si>
    <t>https://people.com/celebrity/people-reveals-2020-people-of-the-year/</t>
  </si>
  <si>
    <t>All the Celebrity Couples Who've Called It Quits in 2020</t>
  </si>
  <si>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respect our family during this time. There are a lot more devastating things going on in the world right now to be concerned with than this 'news.' Thank you to all who took the time to read this. Please, stay safe!"
 Holmes and Malleogot engagedin February 2016. A month lat</t>
  </si>
  <si>
    <t>https://people.com/celebrity/celebrity-splits-of-2020/</t>
  </si>
  <si>
    <t>Merriam-Webster Announces 'Pandemic' Is the 2020 Word of the Year</t>
  </si>
  <si>
    <t>Searches for the word began to "tick up consistently" in January and spiked in March
 In a year that saw thecoronaviruslargely upend life as we know it, more and more people turned to the dictionary to help them get a better understanding of the flood of associated words that seemed to accompany every news story.
 It’s little surprise, then, that Merriam-Webster has announced that “pandemic” is its2020 Word of the Year.
 “Sometimes a single word defines an era, and it’s fitting that in this exceptional–and exceptionally difficult—year, a single word came immediately to the fore as we examined the data that determines what our Word of the Year will be,” the publishing company said.
 Merriam-Webster said searches for “pandemic” began to "tick up consistently" on Jan. 20 and started spiking in early February, when the United States’ first coronavirus patient was released from the hospital.
 As the virus worsened, the number of searches continued to grow, with the biggest spike coming on March 11, the day the World Health Organizationofficially declared COVID-19 a pandemic.
 RELATED VIDEO: Merriam-Webster Defined Complicit forIvanka Trump
 On that day, there was an 115,806 percent increase in lookups compared to the same day in 2019.
 “That probably isn’t a big shock,” Peter Sokolowski, editor at large for Merriam-Webster, told theAssociated Press. “Often the big news story has a technical word that’s associated with it and in this case, the word pandemic is not just technical but has become general. It’s probably the word by which we’ll refer to this period in the future.”
 The definition of pandemic is as follows, per Merriam-Webster: an outbreak of a disease that occurs over a wide geographic area (such as multiple countries or continents) and typically affects a significant proportion of the population.
 Its roots are Greek; pan means “all” or “every,” while dēmos means “people.”
 Other words that spiked in 2020 include coronavirus,defund,mamba, kraken, quarantine,antebellum, schadenfreude, asymptomatic, irregardless, icon and malarkey.
 Sokolowski said that the year was also historic in that it was the shortest period of time that Merriam-Webster has ever seen a word go from coinage to entry — COVID-19 was first used in February, and the company had a dictionary definition up 34 days later.
 “Pandemic” followsprevious words of the year including they, justice, feminism and surreal. The title is based on a statistical analysis of words that are searched online in extremely high numbers “while also showing a significant year-over-year increase in traffic.”</t>
  </si>
  <si>
    <t>https://people.com/human-interest/merriam-webster-announces-pandemic-is-its-2020-word-of-the-year/?utm=newsbreak#!</t>
  </si>
  <si>
    <t>See Which 2020 Emmy Nominees Turned TV's Biggest Night Into a Family Affair</t>
  </si>
  <si>
    <t>Find out which of Hollywood's cutest couples and proud parents tuned in together for this year's virtual Emmy Awards
 The father-son duoswept up a handful of awards— a bevy for the Levys, if you will — for their roles inSchitt's Creek,with Eugene taking home outstanding lead actor in a comedy series and son Dan winning both outstanding supporting actor as well as writing for a comedy series.
 Union showed off her skills with a rap celebrating Issa Rae'sInsecurein a segment that featured celebrities introducing their favorite shows — before her husband snuck in the frame to hilariously cut her off. "Black girl magic, my girls do they duty /And in the love scenes, they show the boys' booties," she began before adding, "Yeah, I said what I said /The show's mad funny / Issa's tryina' find herself, Molly's got money / They in and out of love, it's oh so cute to see / And did I mention, in the love scenes, they show the boys' booties!"
 TheGilmore Girlscreator and her husband tuned in virtually from theDragonfly Inn, which fans of the series recognized as lead character Lorelai's dream project. The pair were each nominated for outstanding directing in a comedy series for separate episodes ofThe Marvelous Mrs. 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
 Harper, who was up for outstanding supporting actor in a comedy series for his role inThe Good Place, scored his first Emmy nomination this year. There to celebrate the special night alongside him was girlfriend and actress Ali Ahn.
 TheMarvelous Mrs. Maiselstar, who was up for outstanding lead actress in a comedy series, took the virtual dress code to the next level with a coordinated couples pajama setalongside her husband and their adorable pups.
 Zendayamade Emmys historyat 24 as the youngest person to win outstanding lead actress in a drama series for her role inEuphoria. As the star gave her acceptance speech from home, she thanked her family and crew, many of whom were there in person to share the special night with her.
 TheOzarkstar teared up while accepting the award for outstanding supporting actress in a drama series for the second year in a row, thanking her husband of one year at the end of her heartfelt speech. The duo dressed to the nines for the occasion, channeling 1920s-era stars with Garner decked out in pearls and the Foster the People musician in a silk robe.</t>
  </si>
  <si>
    <t>https://people.com/tv/emmys-2020-best-family-moments/</t>
  </si>
  <si>
    <t>PEOPLE's Top 20 Stories of 2020</t>
  </si>
  <si>
    <t>Deaths of legends, major transformations andTiger Kingdominated our headlines this year
 Kate Hogan is Director of Digital Specials and Features at PEOPLE. She has been working at PEOPLE since 2008.
 We are just days away from finally saying goodbye to 2020, a year that brought immense sadness with the COVID-19 pandemic, losses of innocent Black lives and the shocking deaths of many celebrities gone too soon, among other major moments. Though there weresome bright spots, it was a year dominated by dark headlines, many of which are reflected in PEOPLE's most-read stories of the year. Here, a look back at the often heavy news we were all captivated by.
 Just 26 days into the new year, the world was shocked by thetragic death of Kobe Bryant and his 13-year-old daughter, Gianna, along with seven others, in a helicopter crash in California. The group was heading to a travel basketball game when their helicopter allegedlyencountered foggy conditions.Kobe and his daughter — who left behind wife and mother Vanessa and daughters Natalia, Bianka and Capri — were remembered at touching tributes throughout the year, includingat that night's Grammy Awards, where host Alicia Keys and Boyz II Men performed "It's So Hard to Say Goodbye."
 "He was the most amazing husband. Kobe loved me more than I could ever express or put into words," Vanessa said weeks later at a memorial service in L.A. "Kobe was the MVP of girl dads, or MVD. He never left the toilet seat up. He always told the girls how beautiful and smart they are. He taught them how to be brave."
 Another shocking loss came when actress Kelly Prestondied on July 12after being diagnosed with breast cancer two years prior. The wife of John Travolta and mom of three chose "to keep her fight private," a family representative told PEOPLE. "She had been undergoing medical treatment for some time, supported by her closest family and friends."
 "She fought a courageous fight with the love and support of so many," Travolta shared one day later onInstagram. "Kelly's love and life will always be remembered."
 The longtime television host died on July 24 at age 88.
 "We are deeply saddened to share that our beloved Regis Philbin passed away last night of natural causes, one month shy of his 89th birthday," his family shared with PEOPLE. "His family and friends are forever grateful for the time we got to spend with him – for his warmth, his legendary sense of humor, and his singular ability to make every day into something worth talking about. We thank his fans and admirers for their incredible support over his 60-year career and ask for privacy as we mourn his loss."
 After an October Internet challenge deemed Chris Pratt the "worst" Hollywood Chris, the actor's wifeKatherine Schwarzenegger came to his defense, along with some of his Marvel costars.
 Responding to an Instagram post byE! Newsthat asked followers which Hollywood Chris "has to go," Schwarzenegger wrote, "Is this really what we need? There's so much going on in the world and people are struggling in so many ways," she continued. "Being mean is so yesterday. There's enough room to love all these guys. Love is what we all need not meanness and bullying. Let's try that."
 In September, Bush Hager got candid about motherhood in her bookEverything Beautiful in Its Time: Seasons of Love and Loss— specifically,how surprised she was by her third pregnancy, describing it as "an immaculate conception."
 The former first daughter also wrote about feeling a wave of "survivor's guilt" because she wondered how her newly married twin, Barbara Pierce Bush, and costarHoda Kotb, who pursued adoption to become a mother, would respond to the news. Her parents, former President George W. Bush and former First Lady Laura Bush, shared the same concerns for their other daughter, given that infertility runs in the family. Hager Bush needn't have worried, though: "Three kids? Holy s---!" Pierce Bush said when she congratulated her sister on the news, per the book.
 In late July, the daytime talk show host issued an apology to the staff members ofThe Ellen DeGeneres Showafter reports from former employees described theworkplace environment as "toxic."The show underwent an internal investigation by WarnerMedia, andDeGeneres sent a lengthy memo, in which she said she is "glad the issues at our show were brought to my attention" and that they are "taking steps ... to correct" them.
 After reports of the comedian's apology made headlines, however,Everybody Loves RaymondalumnusGarrett claimed on Twitterthat DeGeneres bears responsibility for the workplace culture. "Sorry but it comes from the top ⁦@TheEllenShow," hewrote, tagging DeGeneres. "Know more than one who were treated horribly by her.⁩ Common knowledge."
 Sambora, who was the lead guitarist forBon Jovifor 30 years before stepping away in 2013, was "happy" to take a break from the stage and touring life in order tospend more time with his daughter Ava, whom he shares with ex-wifeHeather Locklear.
 "Richie sacrificed a lot to be there for his daughter when she was still very young and needed him the most, and he's so proud to see how well she's doing now," a source told PEOPLE in October of Sambora's relationship with Ava, 23, who graduated with honors from Loyola Marymount University in May. "It was the right decision to step off the stage to be a full-time father. Richie has no regrets about leaving the band."
 The cutest baby alive of 2020 was...Cooper's sonWyatt! In November, little Wyatt took over the title of Cutest Baby Alive from his playdate companion: One of Cooper's best friends — andfellow "playground dads" —Andy Cohenhad his son Benjamin Allencrowned the cutest by PEOPLE in 2019.
 The CNN anchor welcomed his baby boy, his first child, on Monday, April 27, and he has beenenjoying every minute of fatherhoodever since. "It feels like my life has actually begun," Cooper told PEOPLE in June about entering parenthood.
 "It is with tremendous sadness that my brothers and I announce that Kirk Douglas left us today at the age of 103,"Michael Douglas saidin a Feb. 5 statement to PEOPLE. "To the world, he was a legend, an actor from the golden age of movies who lived well into his golden years, a humanitarian whose commitment to justice and the causes he believed in set a standard for all of us to aspire to."
 TheSpartacusacting legend, who had been in good health since suffering a stroke in 1996, is survived by his wife of 65 years, Anne, and his sonsMichael, Joel, and Peter.
 A June 1 court rulingmarked yet another twist in the complicated world of big cats in captivity in the United States depicted in the Netflix docuseriesTiger King.
 Carole Baskin and her Big Cat Rescue corporation — the nemesis of Joe Exotic and his G.W. Exotic Animal Memorial Park in Wynnewood, Oklahoma — were granted control of the Oklahoma zoo property by a judge who found that the property was fraudulently transferred to Exotic's mother years ago, Fox 25reported. The park had been under the control of Jeff Lowe in recent years, but is now being handed over to Baskin — the very woman whom Exotic wasconvictedof plotting to kill.
 Reynoldshada very cheeky responseto the August sale of hisAviation American Ginto European beverage company Diageo as part of a deal worth an estimated $610 million.
 In the wake of news of the massive acquisition, theDeadpoolstar set up his email at the alcohol brand with a hilariousout of office messagein which he apologized to a long list of people —including wifeBlake Lively— for jokingly telling them "to go f— themselves in the last 24 hours" after learning how much money he would make in the sale. "My lawyers just explained how long it takes to achieve an 'earn out'... so... turns out I'm not asGeorge Clooneyas I thought," he joked.
 Paltrowand ex-husbandChris Martin's daughter celebrated her 16th birthday on May 14, and Paltrow honored her mini-me with abeautiful tribute on social media.
 "I can't believe I'm actually writing these words but... happy sweet sixteen my darling girl," Paltrow wrote alongside the photos. "You are the light of my heart, you are pure joy. You are wickedly intelligent and you have the best, most dry, most brilliant sense of humor. I have the best time being your mom. I love our nightly evening chats when I really get to hear what's on your mind. You work hard to get whatever it is you want to achieve, and you have grit and responsibility in spades. I am so damn lucky to be your mother, you beautiful, kind young woman. Thank you for choosing me. I adore you to the moon and back a zillion times."
 WhileAdeledidn't hit the2020 Oscars red carpet, the powerhousesinger did dazzleon the afterparty circuit wearing a beaded leopard dress to Guy Oseary's Oscars bash, which was also attended byJennifer Lopez, Alex Rodriguez,Kim Kardashian, Kanye West and more A-listers.
 "She looked like herself but also so different — beautiful but almost unrecognizable," a source told PEOPLE of the superstar,who has been following a strict diet and fitness routine as part of living a healthy lifestyle.
 Callahan, best known for his role as Edmund Grey on the daytime soap operaAll MyChildren, died onMarch 28 at age 66 following a massive stroke.
 The Daytime Emmysannouncedthe news. "We're devastated to share that John Callahan passed away earlier today. Sending our deepest condolences to Eva La Rue and all his loved one," the tweet read. Callahan was married to LaRue from 1996 to 2005; together they had one child.
 In early Septemberthe actor shared that he and his wife,Lauren Hashian, and their daughters Jasmine, 4, and Tiana, 2, all had been sick with the virus, with the actor and his wife being particularly unwell. Thankfully they all recovered.
 "I could tell you that this has been one of the most challenging and difficult things we have ever had to endure as a family, and for me, too, personally as well," theJumanjistar continued. "And I've gone through some doozies in the past."
 After being a prominent fixture on the Duggar family's first TLC series,19 Kids and Counting, which documented the highly-religious, ultra-conservative Duggar household from 2008 until itscancellationin 2015, Jill went on to star in the subsequent spinoff,Counting On. But in 2017, she made the surprising decision to quietly quit the show. The reason? Jill told PEOPLE in October she and her husbandDerick Dillardrealized they'dlost the power to dictate their own lives.
 "Our control to choose what jobs we were allowed to accept and even where we were allowed to live was taken away from us," Jill says, adding that goals they'd had as a couple were squashed if they conflicted with the network or family's plans. "By that point we'd had enough. We knew we had to pull out completely to reevaluate and get our bearings."
 In September, the singer posted anInstagramphoto of herself modeling a blue one-piece with a front-zip closure from her longtime friendTheresa Marie Mingus'snew swimwear line,La'Mariette. In the caption,Gomez sharedthat she finally felt confident enough to show the scar she received from an emergency follow-up procedure after her kidney transplant in 2017. She posed with one leg propped up on a rock, putting her inner thigh scar (which she first revealed in March 2018) and herprayer hands tattooon full display.
 "When I got my kidney transplant, I remember it being very difficult at first showing my scar. I didn't want it to be in photos, so I wore things that would cover it up," she captioned the post. "Now, more than ever, I feel confident in who I am and what I went through...and I'm proud of that."
 ThePitch Perfectstargave an August updateabout her "Year of Health" in an Instagram post, sharing two photos of herself wearing a navy blue wrap dress as she thanked followers for their continual support.
 "When I was reaching for the candies last night after dinner I thought to myself 'hmmmm...better not' and had a bottle of water instead," sheshared in the caption. Wilson also revealed that she was 17.64 lbs. away from hitting her goal weight, writing, "8kg's to go until I hit my goal - hopefully I can do it by the end of the year x." (Spoiler alert: she did.)
 The royal couple announced on Jan. 8that they intend to "step back as senior members of the Royal Family," and they are making plans to split their time between the U.K. and North America.
 "After many months of reflection and internal discussions, we have chosen to make a transition this year in starting to carve out a progressive new role within this institution," the Duke and Duchess of Sussex wrote onInstagram. "We intend to step back as 'senior' members of the Royal Family and work to become financially independent, while continuing to fully support Her Majesty The Queen. It is with your encouragement, particularly over the last few years, that we feel prepared to make this adjustment."
 The coupleended up in several conversations with the Queenabout what their future would look like, ultimately giving up royal duties, military appointments, their HRH titles and public funding. They then moved to Canada before relocating to Santa Barbara, California, later in the year; they've since been spotted at several charitable events in the Los Angeles area and in late December,launched a Spotify podcast(with a cameo from their young son, Archie).
 Robertsonand his children Al, Jase, Jep and Willie revealed during a May episode of theUnashamedpodcastthat the family had recentlydiscovered the deeply religious patriarch has an adult daughter.
 During the podcast, Al explained that he received a letter from a woman named Phyllis, who was 45 and claiming to be his sister.
 "So basically, it was from a woman who said that by a DNA search, she thinks that dad might be her dad," Al said, adding that he had "dismissed" the letter at first because the woman's birthday was after the time Phil had become a Christian in the 1970s.
 Phil has previously admitted to being a philanderer prior to finding Jesus, however, it appears his daughter was conceived just before he devoted himself to the church. "Well once we get into that and start looking at it a little more deeply, I'm like, 'Oh woah, woah... there might be something to this,'" Al said. Al finally approached his parents, and Phil agreed to take a DNA test — which ended up being a "99.9 percent match." Phil said that the family had already met Phyllis and in June,brought her on the podcast for a chat.</t>
  </si>
  <si>
    <t>https://people.com/celebrity/top-20-stories-of-2020-people/</t>
  </si>
  <si>
    <t>nypost.com</t>
  </si>
  <si>
    <t>Trump believes 2020 election loss was ‘providential’ so his second term fell on America’s 250th birthday, Monica Crowley tells Pod Force One</t>
  </si>
  <si>
    <t>2025-07-02T10:00:00+00:00</t>
  </si>
  <si>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</si>
  <si>
    <t>https://nypost.com/2025/07/02/us-news/trump-believes-2020-election-loss-was-providential-so-his-second-term-fell-on-americas-250th-birthday/</t>
  </si>
  <si>
    <t>The 20 best movies of 2020 you’ll want to watch before the new year</t>
  </si>
  <si>
    <t>2020-12-16T15:33:24+00:00</t>
  </si>
  <si>
    <t>Shuttered theater chains, constant release delays, an upcoming April Oscars and an earth-shaking shift to streaming: 2020 was the most unusual and significant year in the history of moviegoing. Still, against all odds there was no lack of strong films to enjoy.
 Here, our critics tell us their picks for the best of a bizarre year.
 It was a dreadful year for the movie business, no doubt about it. But don’t confuse mandatory theater closures for the quality of the films themselves. Our fears of being stuck inside with nothing to do were soothed by a steady stream of, well, streaming movies. Good ones, at that! Sure, most giant action flicks delayed their releases for a year or more, but smaller gems were able to wrestle away attention from James Bond and Marvel for once. Still, I very much hope to see you all back at the movies in 2021!
 The best of the year was“Mank,”David Fincher’s wondrous ode to old Hollywood and“Citizen Kane” screenwriter Herman Mankiewicz. A niche idea for a film, the black-and-white drama was a deeply personal project for the director — his late father Jack wrote the script — and the attention to detail in recreating 1930s Los Angeles was remarkable. As was the gregarious lead performance from Gary Oldman, especially when he drunkenly berated William Randolph Hearst.
 Unexpectedly, some of the year’s finest performances came from a documentary. Called“Boys State,”the captivating movie followed a pack of 17-year-old future politicians who inspire, cajole and lie to get (fake) elected office at a week-long Texas camp. After it premiered at Sundance, its stars Rene, Steven and Ben became bigger than T-Swift.
 This Universal comedy, directed by Judd Apatow and starring Pete Davidson, was one of the first major films to go direct-to-digital and skip a wide theatrical release. I’m so glad it did. Besides cementing the “SNL” star as a lovable comedy powerhouse, it warmed our ailing hearts at the perfect moment.
 Aaron Sorkin’s sharp and witty drama featured a trove of excellent performances (Frank Langella, Mark Rylance, Eddie Redmayne), but none were better than Sacha Baron Cohen as activist Abbie Hoffman in“Trial of the Chicago 7.”Baron Cohen, who also yukked it up in“Borat: Subsequent Moviefilm,”predictably mastered Hoffman’s stand-up-like delivery, but also imbued him with fierce passion for his cause.
 Not only did “King of Staten Island” join the ranks of great New York films. So did“On The Rocks,”Sofia Coppola’s witty wild night out starring Bill Murray as a suave father who helps his daughter (Rashida Jones) figure out if her hubby is cheating on her. Coppola whisked us to 21 (RIP), the Carlyle and the Soho House, with Murray as our enviably sophisticated tour guide.
 Delroy Lindo scorched the screen in“Da 5 Bloods”whether you watched him on an iPhone or a 70-inch TV. The British actor played a Vietnam vet in Spike Lee’s tense drama of paranoia and betrayal, who returned to the battlefield to search for a lost treasure. Midway through the movie he unleashes a vicious minutes-long monologue as he stomps through the jungle that viewers won’t soon forget.
 Both “King of Staten Island” and Pixar’s“Onward” involve main characters dealing with the loss of their fathers. One featured a lot more F-bombs and pot (I shall not reveal which). Unusual for Pixar, the movie had elements of fantasy and lots of hearty “Dungeons and Dragons” jokes. A realization of young wizard Ian (Tom Holland) about his brother (Chris Pratt) in the end brings on the tears.
 A movie about the worst moment of a woman’s life was a highlight of the mostly-digital Toronto International Film Festival this year. Venessa Kirby, who gets better and better, plays a pregnant wife whose baby dies during a home birth — a hard sequence to watch. Her resentment toward the midwife who let it happen and her ghost-like presence as she unhappily walks the earth make for a harsh and moving sight.
 “Palm Springs”is the opposite of awards/list-bait, but the Gen-X “Groundhog Day”-riff starring Andy Samberg and Cristin Milioti was hypnotically enjoyable. Although the comedy premiered at Sundance in the icy mountains of Park City, Utah, it dropped in Hulu in the middle of summer and went down like a cold pina colada.
 One of the zaniest Charles Dickens adaptations in recent years was“The Personal History of David Copperfield,”starring Dev Patel. Director Armando Iannucci blew the dust off an old book, and infused it with groovy color. This Christmas, I suggest you skip “A Christmas Carol” and enjoy this cool, surprisingly funny movie instead.
 Our 2020 movie landscape may have been chaotic, but great films persevere no matter what. Some of these titles — even if made in years prior — presciently spoke to our unique circumstances, while others offered a welcome escape to far-off locales and unsung histories.
 This is a candy-colored Molotov cocktail of a film, with Carey Mulligan a vengeful avatar for every ignored sexual assault victim. The ending’s a doozy that should provide conversational tinder for months to come.
 Who but the vanity-free Frances McDormand could anchor director Chloe Zhao’s masterful “Nomadland,” an ode to the aging wander-laborers of middle America? Its hauntingly beautiful landscapes and supporting cast of non-actors are unforgettable.
 Tom Hanks embarks on a different sort of travelogue in the gloriously old-school Western “News of the World.” A traveling newspaper-reader in post-Civil War Texas, Hanks’ Captain Kidd is reluctantly charged with returning a Native American-assimilated young girl (Helena Zengel) to family.
 You don’t come to a Charlie Kaufman picexpecting a linear plot, but “I’m Thinking of Ending Things”takes the director’s labyrinthine storytelling to new extremes in this story of a man (Jesse Plemons) bringing his new girlfriend (Jessie Buckley) to meet the parents.
 This filmbeckons usinto the milieu of midcentury radio plays and sci-fi serials. It’s a marvelously low-fi tale, set in a small town where something strange — could it be alien? — is broadcasting a captivating frequency.
 Director Rob Savage pulls off the Blair Witching of Zoom with“Host,”a scary, freaky little horror film that makes cheeky use of the now-ubiquitous platform.
 Aaron Sorkin expertly punches up an already-punchy true story in “The Trial of the Chicago Seven,” with Sacha Baron Cohen very comfortably inhabiting the role of 1960s merry prankster Abbie Hoffman.
 Moving to the 1970s, the documentary examines the nascent disability rights movement, with roots in an upstate New York summer camp for disabled youth that gave its attendees an inspiring vision of how life could be.
 “Mucho Mucho” arrives with a blast of glitter to celebrate the life of aglobally-beloved, androgynous Puerto Rican astrologer. Whether you’re a longtime fan or a newcomer, Mercado and his message of love are guaranteed to charm.
 “Minari” continues the rise of Steven Yeun as one of our finest actors, here as the patriarch in Lee Isaac Chung’s semi-autobiographical story of a Korean family moving to 1980s Arkansas to start a farm. Little Alan Kim steals the show as the impatient young son, while Yuh-Jung Youn is magnificent as his unconventional grandma.</t>
  </si>
  <si>
    <t>https://nypost.com/article/best-movies-of-2020/</t>
  </si>
  <si>
    <t>US home prices have soared 47% since 2020</t>
  </si>
  <si>
    <t>2024-05-13T16:02:09+00:00</t>
  </si>
  <si>
    <t>A recentanalysis by ResiClubof the Case-Shiller National Home Price Index has unveiled a jaw-dropping surge in US home prices, soaring a lofty 47.1% since the dawn of this decade.
 The boom witnessed in the early years of the 2020s has outpaced not only the growth of the 1990s and 2010s — but is now threatening to surpass the entirety of the 2000s.
 Even the dizzying heights reached before the 2007 housing market meltdown are within striking distance.
 This decade’s housing market frenzy was ignited by a perfect storm — the onset of the COVID-19 pandemic triggering an unprecedented rush among buyers.
 The result? A staggering 20% surge in prices within a mere 12 months.
 Despite mortgage rates skyrocketing to around 7%, double what they were at the peak of the pandemic, home prices refuse to plateau.
 That’s due the insatiable appetite for housing coupled with a crippling shortage in supply.
 “Because the Fed kept rates too low for too long during the pandemic, listing inventory was essentially wiped off the map, keeping prices rising sharply despite the surge in mortgage rates,” appraiser Jonathan Miller told The Post. “Would-be home sellers that bought or refinanced at a 2.5% to 4% rate during the pandemic became trapped due to the lock-in effect. They became reluctant to list their homes because, as new buyers, they would get a lot less for their money because of the much higher mortgage rates. The way out of this appears to be to hope for a drop in mortgage rates, but that could take years.”
 To put things in perspective, the median US home sale price hit $420,800 in the first quarter of this year. Compare that to a modest $327,100 at the beginning of the decade. It was $124,800 at the dawn of the ’90s.
 Lance Lambert, co-founder of ResiClub, says housing price growth in the first 50 months of this decade has outpaced not just one, but the last three decades combined.
 It’s all an unfortunate cycle of events for those looking to achieve the American Dream — and for one age bracket in particular.
 Recent research reveals that millennials, more than any previous generation, perceive true success as synonymous with homeownership. A February Bank of America Homebuyer Insights Report highlights that millennials prioritize homeownership more than their parents did at a comparable age.
 Their goals persist despite languishing high interest rates meant to combat nagging inflation. Older millennials also face heightened financial strain due to a substantial share of outstanding student loans and a notable increase in credit card delinquencies.</t>
  </si>
  <si>
    <t>https://nypost.com/2024/05/13/real-estate/us-home-prices-have-soared-47-since-2020/</t>
  </si>
  <si>
    <t>What to know about the hottest TV shows of fall 2020</t>
  </si>
  <si>
    <t>2020-09-10T17:24:05+00:00</t>
  </si>
  <si>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</si>
  <si>
    <t>https://nypost.com/2020/09/10/the-hottest-tv-shows-for-fall-2020/</t>
  </si>
  <si>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tweets since Nov. 1, after posts targeting lawmakers who</t>
  </si>
  <si>
    <t>https://nypost.com/2020/12/01/</t>
  </si>
  <si>
    <t>Joe Biden to join packed 2020 Democratic field as favorite</t>
  </si>
  <si>
    <t>2019-04-25T02:03:05+00:00</t>
  </si>
  <si>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</si>
  <si>
    <t>https://nypost.com/2019/04/24/joe-biden-to-join-packed-2020-democratic-field-as-favorite/</t>
  </si>
  <si>
    <t>The 16 Most Anticipated Original Films Coming to Streaming in 2020</t>
  </si>
  <si>
    <t>2020-01-02T15:49:30+00:00</t>
  </si>
  <si>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</si>
  <si>
    <t>https://nypost.com/ss-post/the-16-most-anticipated-original-films-coming-to-streaming-in-2020/</t>
  </si>
  <si>
    <t>Super Bowl 2020 is overtaken by Kobe Bryant sorrow</t>
  </si>
  <si>
    <t>2020-01-28T00:45:49+00:00</t>
  </si>
  <si>
    <t>MIAMI — The show must go on, it must always go on, in every precinct outside of Los Angeles, but the Kobe Bryant Story is a tragedy that has washed ashore on South Beach, a tsunami of a grief that can be seen and heard even over the pulsating music from the ostentatious party the NFL is committed to throwing annually come hell or high water.
 The relentless drumbeat of hype of Super Bowl Week cannot stop the mourning, and it isn’t only because Kobe Bryant was a generational basketball icon, the Black Mamba whose on-court mentality was admired, copied and adopted by athletes in all sports.
 It is also because he was a husband and a father, and he leaves behind a wife and three of his four young daughters. His 13-year-old daughter, Gianna,was killed with him in Calabasas, Calif.on that helicopter, on their way to her travel basketball game.
 The sorrow cannot possibly be contained between Lower Merion, Pa., where it all began for Kobe, and L.A., where No. 24 became a five-time champion who lit up the City of Angels that decided to go dark andpostpone Tuesday night’s Lakers-Clippers game.
 Monday mourning everywhere across America and even beyond for a global icon with an otherworldly gift.
 There was a moment of silence at Super Bowl Opening Night when a photo of Kobe 1978-2020 flashed on the big overhead screen. “Ko-be, Ko-be, Ko-be,” the fans chanted.
 Kobe impacted Richard Sherman both on the field and off it.
 “There’s a certain killer instinct you gotta have to win at a high level and to win when nobody expects you to win … there’s a certain mentality you have to have when you never take no for an answer and that’s no from anybody, whether it’s the weather, whether it’s your own body, whether it’s your opponent,” Sherman said. “He showed me that there is mind over matter. You can overcome anything if you put your mind to it.”
 So many wanted to Be Like Kobe after they wanted to Be Like Mike.
 “He had a big impact on all of us,” Chiefs punter Dustin Colquitt said. “He’s 41, I’m 37. That was somebody that you watched, you wanted to emulate everything he did. … I have a daughter, she’s 9, when you see some tragedy like that, it’s hard to know kinda what was going through his mind. She [Gianna] had her whole life in front of her.”
 It is more than likely that none of the men playing in Super Bowl 2020 can or ever will approach Kobe Bryant’s Hall of Fame greatness, but all of them have families, and all of them have been reminded that all of it, and all the fame and the fortune and the camaraderie and the unbridled joy, it can all be taken from you in an instant, one maddeningly cruel instant, one horrific, unspeakable twist of fate.
 And so of course a pall was cast on Super Bowl Opening Night at Marlins Park, a pall that will last all the way to Super Bowl 2020 on Sunday at Hard Rock Stadium, when these Chiefs and 49ers play in a game they have dreamed of playing since they were little boys.
 “Kobe was such a big inspiration, especially where I’m from — a black kid from a very small city [Douglas, Ga.]” Tyreek Hill said. “I remember going outside every day, counting down the shot clock, saying, ‘5, 4, 3, 2, 1, Kobe.’ I still don’t want to believe it. It’s sad, man.”
 Frank Clark considered Kobe a brother from afar.
 “Growing up in Los Angeles, inner city, South Central, you don’t got a lot to look forward to,” Clark said. “There are gangs and drugs. That’s really it. The one person I looked to for inspiration and all my strength growing up when I was going through the things I was going through was Kobe Bryant. He was a successful guy. You look at gangs, drug dealers and you look at the guys who are successful. The athletes…. He was winning championships with Big Shaq in the early 2000s and L.A. was on fire, baby.”
 Patrick Mahomes is 24 years young and he is the baby face of Super Bowl 2020 and if there is anyone Kobe would have wanted to watch on Sunday, it is Mahomes,who can do things with a football that Kobe could do with a basketball.
 “The work ethic and the intensity that he had to be great every single day, and then, even to this day, I still watch videos on YouTube day before games and just listen to him talk and how he puts everything in perspective of being great on and off the field with his kids and his business ventures and then obviously his play. … He made a huge impact on my life for sure,” Mahomes said.
 Some of their brothers have succumbed to CTE. All of them expect to live past 41.
 “Seeing things like that makes me not understand life,” Hill said. “Those kids had to die in such a tragic way. I feel like I lost a family member. I don’t know even Kobe like that. He’s just a role model to me and then his kids … I have a daughter myself so I can only imagine.”
 This won’t be Super Bowl 2020 as much as it will be Super Bowl 2424.
 “I thought guys like him lived forever,” Tyrann Mathieu said.</t>
  </si>
  <si>
    <t>https://nypost.com/2020/01/27/super-bowl-2020-is-overtaken-by-kobe-bryant-sorrow/</t>
  </si>
  <si>
    <t>Pfizer scientist subpoenaed over claims COVID vax testing was ‘deliberately’ slowed before 2020 election</t>
  </si>
  <si>
    <t>2025-07-01T17:17:17+00:00</t>
  </si>
  <si>
    <t>WASHINGTON — A former Pfizer scientist was subpoenaed Monday by House Republicans over allegations that senior executives at the pharma giant colluded to “deliberately slow down” clinical tests of its COVID-19 vaccine ahead ofthe 2020 presidential election.
 The House Judiciary Committee ordered Dr. Philip Dormitzer, the ex-vice president and chief scientific officer ofRNA and viral vaccinesfor Pfizer, to appear for a deposition on July 22 after demanding answers about allegations “that senior Pfizer executives conspired to withhold public health information so as to influence the 2020 presidential election.”
 “To date, you have failed to voluntarily comply with our requests,” wrote Judiciary Chairman Jim Jordan (R-Ohio). “Therefore, the Committee must resort to compulsory process to obtain your testimony and the requested documents.”
 In a May 29 letter to the Judiciary panel, Dormitzer attorney Susan Brune indicated that her client did not have any relevant records and promised “Pfizer’s representatives are or will be in communication … to provide whatever details you might request.”
 Jordan’s panel wrote to Pfizer’s chairman and CEO,Dr. Albert Bourla, in May asking for emails, texts, meeting notes and other documents showing any data from the clinical trials or communications with federal public health agencies.
 Brune and reps for Pfizer did not immediately respond to requests for comment.
 The London-based drugmaker GSK had first revealed the purported conspiracy to Jordan in an April 16 letter, claiming that Dormitzer had asked to be relocated outside the US in November 2024 “due to concerns that he could be investigated by the incoming Trump Administration over his role in developing Pfizer’s COVID-19 vaccine.”
 Asked why he wanted to move, Dormitzer told the GSK employee: “Let’s just say it wasn’t a coincidence, the timing of the vaccine.”
 Dormitzer also disclosed to other GSK employees “in late 2020, the three most senior people in Pfizer R&amp;D were involved in a decision to deliberately slow down clinical testing so that it would not be complete prior to the results of the presidential election that year,” according to the letter to Jordan.
 Notably, GSK denied that Dormitzer was admitting to intentionally “delaying disclosure of completed results,” but described it as “a situation of slowing down results before disclosure became necessary.”
 Pfizer’s COVID vaccine results, first reviewed by independent experts for effectiveness and safety, were shared by its team of scientists just five days after polls closed for the 2020 election on Nov. 3.
 Media outlets called the race for former Vice President Joe Biden on Nov. 7.
 Dormitzer has previously denied that he or anyone at Pfizer tried to delay the vaccine rollout, and said his comments to his colleagues at GSK have been misinterpreted.
 Dormitzer has only donated to Democratic campaigns, Federal Election Commission (FEC)filings show, shelling out hundreds of dollars in the 2010s to congressional candidates while working in vaccine development at Novartis.
 Manhattan prosecutorsfirst unearthed the bombshell allegationsabout the vaccine trials as part of a federal investigation into Pfizer.
 “The COVID-19 vaccine development process was driven by science and guided by the U.S. FDA back in 2020,” a rep for the company previously said in a statement.
 “We have consistently and transparently reiterated the facts and the timeline of the tireless work of scientists, regulators, and thousands of clinical trial volunteers who made the vaccine possible. Theories to the contrary are simply untrue and being manufactured.”</t>
  </si>
  <si>
    <t>https://nypost.com/2025/07/01/us-news/pfizer-scientist-subpoenaed-over-claims-covid-vax-testing-was-deliberately-slowed-before-2020-election/</t>
  </si>
  <si>
    <t>usatoday.com</t>
  </si>
  <si>
    <t>20 predictions for 2020: Here's what people said would happen by this year</t>
  </si>
  <si>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</si>
  <si>
    <t>https://www.usatoday.com/story/news/nation/2019/12/22/2020-predictions-decades-ago-self-driving-cars-mars-voting/2594825001/</t>
  </si>
  <si>
    <t>Perspective | So long, 2020. We won't miss you as we step into the New Year full of hope</t>
  </si>
  <si>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</si>
  <si>
    <t>https://ftw.usatoday.com/story/opinion/columns/2020/12/29/remembering-2020-covid-heartbreak-defined-year-but-2021-brings-hope/4053997001/</t>
  </si>
  <si>
    <t>Is Halloween canceled? As parents and attractions gear up to celebrate, CDC stresses caution</t>
  </si>
  <si>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</si>
  <si>
    <t>https://www.usatoday.com/story/life/2020/09/11/is-halloween-canceled-2020-parents-and-cities-hope-not-medical-experts-warn-threat-of-coronavirus/5762685002/</t>
  </si>
  <si>
    <t>Good news prevails: 100 positive things that happened in 2020 (so far)</t>
  </si>
  <si>
    <t>We are only halfway through 2020 and it's the worst —beloved celebrities have died, we are in the grips of a worldwide pandemic and we are living in a country upended by a fight for racial equality.
 It really does not feel like a moment to see the glass as half full or make lemonade out of lemons.
 This is not meant to minimize the harsh reality of an incredibly difficult year. Many have lost loved ones. Many are struggling. Many feel sad, scared, frustrated and broken.
 "It’s OK to not be OK right now and to just do your best to get through this truly unprecedented time," C. Vaile Wright, director of clinical research and quality at the American Psychological Association,told USA TODAY earlier this year.
 But while this year seems especially hard, there are silver linings. Out of coronavirus comes creativity. Out of quarantine comes bonus time with family. Out of activism comes changes for the better.
 One thing we can try to do is to see the good. Maybe this list will help. From small acts of kindness to new albums that got us dancing, here are 100 good things that happened in 2020 so far, compiled by USA TODAY's Life staff, in no particular order.
 A 103-year-old grandma beat COVID-19 andcelebrated with a Bud Light.
 Drive-in concerts are a thing now(which is great news for those missing live music, or those who don’t like crowds anyway).
 We got to watch football greats Tom Brady and Peyton Manning play golf with golf greats Phil Mickleson and Tiger Woods in"The Match" for COVID-19 relief.
 Tom Brady ripped his pants. (Sorry, Tom, but we really needed the laugh.)
 Restaurants shared their secret recipesso we could make them at home.
 John Krasinski made good news go viralwith “Some Good News.”
 A family perfectly re-createdJourney’s “Separate Ways” music video and it’s incredible.
 Restaurants got awesomely creative to enforce social distancing including pool noodle hats, bumper boats anddapper mannequin guests.
 A squirrel mastered a Ninja Warrior obstacle course, proving that squirrels are more amazing than we thought.
 Two lovable Labradors, Olive and Mabel, gave a sports-less world some adorable "athletic" competition invideos narrated by British broadcaster Andrew Cotter. They got a book deal!
 Thisopera performed to a beautiful audience of house plantsand then donated the plants to health care workers.
 People around the country brushed up on their sewing skills, making masks for people who need them most.
 Lady Gaga gave us a new albumfor sweaty dance-floor fun – in our living rooms.
 ThenCarly Rae Jepsen did it againwith her new album.
 The Chicks returned after 14 yearswith "Gaslighter" and reignited our love of twangy empowerment songs.
 Demi Lovato made a comeback with herGrammy performance, followed by aflawless delivery of the national anthem at the Super Bowl.Then she got engaged.
 People got creative aboutreimagined vacations, including our own staff.
 Americans rushed to adopt and foster petsin need amid the pandemic.
 Sure,we might have gained a little weight, but we rediscovered our love for old hobbies like baking and gardening.
 And when it comes to baking, we got really creative byturning tiny pancakes into cereal and so much more.
 We also have time to read again and we're seizing the moment to educate ourselves: books like Robin DiAngelo's "White Fragility" and Ibram X. Kendi's "How to Be an Antiracist" have toppedUSA TODAY's best-selling books listfor weeks.
 Puzzles andboard gamesbecame cool again and offered a much-needed break from our screens. There are evengames you can play over Zoom!
 Your favorite Disney Channel stars from childhood hadmajor glow-up momentsafter overcoming challenges.
 TikTok blew up and our boredom was cured (well, at least some of our time during quarantine was filledlearning dancesand watching endless hours of these short videos).
 Also, TikTok gave usTabitha Brownwho soothes us with her calming voice and motivational speeches.These Black creatorsare bringing joy too.
 This marketing team at a retirement community in Connecticutdelivered sweet surprisesto their residents every Friday.
 This dolphintried befriending these dogs.
 Netflix’s elaborate “Floor Is Lava”competition brought us back to the imaginary game of our childhoods.More reality TV games are helping us cope.
 Distilleries, both small and large, around the country used their resources to produce badly needed hand sanitizer.
 Brad Paisley bought beerfor these interracial friends who asked their community to “relax and have a beer.”
 Stanley Tuccimade a Negroniin an inexplicably soothing video and we just really needed it.
 Ina Gartenmade a cocktail, too, and we related to it's massive size. "It's "always cocktail hour in a crisis," she said.
 Major companies such as 3M and Applepooled resources or shifted production to make millions of masks to help keep people safe.
 Ford, GM, Tesla and other automakers were able to make ventilators and other medical devices to help with the pandemic.
 The Life is Good brand figured out a way to keep its T-shirt making business going safety amid the pandemic -- and in return,keeps optimism thriving in a difficult time as well. Life is still good.
 Crayola launched a box of crayons with diverse skin colorsfor children to "accurately color themselves into the world."
 Amazon introduced fun new boxesthat can be turned into a cat fort or robot costume.
 We learned that homeschooling is HARD and finally recognized teachers for the heroes that they are.
 Health care workers and essential workers. Also heroes.
 "Signed, Sealed, Delivered": Museumsgot creativewhen reopening.
 NASA named its Washington,D.C. headquartersafter Mary W. Jackson, its first Black female engineer.
 Bike trailsbecame one of the few places in the country that were open.
 Zoom flubs brought comedic relief, likethis ABC reporterwho forgot to put on pants.
 Ellen DeGeneres hilariously taught ushow to appropriately wash our hands.
 This FedEx worker disinfected a packagefor a girl with autoimmune disorder.
 Thisrunner completed an entire marathonon his porch.
 We came up with creative ways to celebrate big milestones like drive-by birthdays and Zoom parties.
 This toddler still found a way to have weekly playdateswith his grandparents through a window. Seriously, so sweet.
 Twelve-year-old Keedron Bryant went viral for his powerful song about being a young Black man in America.He got a record deal.
 A 6-year-old boy saved his little sister from an attacking dogand celebrities rallied around him.
 For the first time ever, the Academy Award for best picture went to an international feature film: "Parasite."
 Brad Pitt charmed us with jokesduring awards season. He also won his first Oscar and made a hunky Anthony Fauci.
 Billie Eilish swept the Grammysand announced a new single.
 Alicia Keys as Grammys hostgave us a much-needed moment of comfort following the death of Kobe Bryant.
 Then Keys did it again ashost of Nickelodeon's "Kids, Race and Unity,"helping us have important conversations with children about racism and police brutality.
 A “Friends” reunion, finally! (It’s delayed because of coronavirus, but you can still rewatch all of the sitcom onHBO Maxuntil then.)
 A “Bachelor” for seniorsis in the works and we are SO HERE FOR IT.
 Love is still blossoming amid quarantinethanks to drones, digital dinners and an inflatable plastic bubble.
 After casting 40 seasons of “The Bachelor” and “The Bachelorette,” ABC finally cast itsfirst Black male lead, Matt James.
 Kate McKinnon and Elizabeth Warrenflipped the switchand it was amazing.
 The cast of “Parks and Recreation” reunitedto raise money for families in need and bring smiles to us all.
 Celebrities surprised graduates at virtual commencement ceremonies.
 A Wendy’s manager helped a truck driverget some food amid the pandemic.
 A principal surprisedeach of his 98 high school seniors with yard signs to make them feel special since celebrations were canceled amid coronavirus.
 A stuffed puppy lost in the Cincinnati airport was returned to his family after spending days exploring the travel industry.
 Beyoncé dropped some fierce surprises, like her Juneteenth track “Black Parade” and a trailer for “Lion King” inspired visual album,"Black Is King,"headed to Disney+ on July 31.
 Taylor Swift dropped a surprise of her own -- her 8th and possibly best ever studio album.
 Ashley Graham, Jenna Dewan, Anderson Cooper and morestars welcomed the most adorable babies.
 Speaking of babies,this couple welcomed identical quadrupletsamid the coronavirus pandemic. It is high-risk and very rare, but the baby boys are thriving.
 Eminem celebrated12 years of sobriety.Miley Cyrus is sobertoo.
 Smaller movies and hidden gems are suddenly at our fingertips (streaming!).
 NBC saved joyful TV show “Zoey’s Extraordinary Playlist,”renewing it for another season just as our readers wanted per USA TODAY's annual "Save Our Shows" survey!
 Three words: “Hamilton” the movie.It lives up to the hype.
 Virtual wine tastings! Because we can’t all afford to visit California or Italy, even if we weren’t in a pandemic.
 We embraced our gray hair. Well,at least our books editor did.
 At-home hair styles brought us much-needed laughs, likeRyan Reynold’s tiny ponytail.
 We realized how much we love and need sportsand its ability to unite us.
 With toilet paper out of stock,bidets are boomingwhich is good news for our behinds...and less wasteful.
 Disney Family Singalongsentertained our kids for more than 5 minutes.
 Musicians took to social media to give uspersonal concerts from home.
 Late night talk show hostscontinued to bring the funny from their homes, with adorable special guests -- their kids.
 Wearing sweatpants and tees became acceptable fashionchoices all day, every day.
 Weddings still happened over Zoomand it was beautiful.
 People brought out their Christmas decorationsto bring cheer during quarantine.
 Speaking of Christmas,Carrie Underwood announced she's bringing us a holiday albumthis year!
 While coronavirus pushed many museums to close,it opened up their collections to audiences virtually. Sure, it’s still better to see art in person, but it’s not a bad way to spend your lunch break. Smithsonian, anyone?
 You can also now virtually explorenational parks, zoos, even Mars!
 Or you can road trip! Our reporter learned to RV and thenshared all the glorious details of how to do it with us.
 We might not be watching them in theaters, but we still got somereally good movies to watch.
 RemarkableTV series in the first halfof the year have brought a little light to a dark time.
 Even while 2020 has been a total dumpster fire, themusic that's come out of itis anything but.
 And the very best thing of all:PUPPY PICTURES!</t>
  </si>
  <si>
    <t>https://www.usatoday.com/story/life/2020/07/29/100-good-things-from-2020-positive-stories-news/3257222001/</t>
  </si>
  <si>
    <t>These are the 10 best movies of 2020, and here's how you can watch them</t>
  </si>
  <si>
    <t>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t>
  </si>
  <si>
    <t>https://www.usatoday.com/story/entertainment/movies/2020/12/23/best-movies-2020-watch-now/3863308001/</t>
  </si>
  <si>
    <t>NBA paused. Tom Hanks' diagnosis. A Trump address. Here's what happened on March 11, 2020.</t>
  </si>
  <si>
    <t>It's now been half a decade since theCOVID-19pandemic altered reality for the entire globe. Though ripples of the pandemic continue to affect us all, one day continues to stand out as monumental.
 On Wednesday, March 11, 2020, the World Health Organization declared COVID-19 a worldwide pandemic, the NBA suspended its 2019-2020 season, Tom Hanks shared that he had tested positive for the virus and PresidentDonald Trumpannounced a travel ban in the United States.
 That morning, during a meeting with the House Oversight and Reform Committees, then-Chief Medical Advisor Dr. Anthony Fauci warned lawmakers that, "Things will get worse than they are right now." At the time, 118,000 cases and 4,291 deaths related to COVID-19 had been reported in 114 countries. The global death toll has since increased by more than 1,650 times.
 Here's a look at thekey moments from the start of the COVID-19 pandemicon March, 11 2020.
 Not long after Fauci made his statements to lawmakers in the U.S., WHOdeclaredCOVID-19 a worldwide pandemic.
 Throughout the day, several government officials putbans on large gatherings, measures aimed at reducing the spread of the virus.
 San Francisco Mayor London Breed prohibited gatherings of more than 1,000 people, and former Washington Gov. Jay Inslee and former Oregon Gov. Kate Brown put bans on events of 250 people throughout their states.
 A staff member for Washington Sen. Maria Cantwell was thefirst individual on Capitol Hill to test positive for the viruson March 11, 2020.
 The NCAAannouncedthat due to the virus outbreak, March Madness would only be held with the players, essential staff and limited family in attendance. A day later, the men's and women's basketball tournaments werecanceled.
 Later in the evening on March 11, shortly before tipoff between theOklahoma City ThunderandUtah Jazz, referees and coaches learned that Jazz center Ruby Gobert had tested positive for the virus. The game was postponed and then ultimately, the National Basketball Associationsuspended the remainder of its 2019-2020 season.
 Actor Tom Hanks posted a photo onInstagram, sharing that he and his wife, Rita Wilson, tested positive for COVID-19.
 "We felt a bit tired, like we had colds, and some body aches. Rita had some chills that came and went. Slight fevers too. To play things right, as is needed in the world right now, we tested for the Coronavirus, and were found to be positive," Hanks wrote in hispost. "We'll keep the world posted and updated. Take care of yourselves!"
 In the evening, TrumpdeclaredCOVID-19 a nationwide emergency and announced that a 30-day travel ban on non-U.S. citizens traveling from 26 European countries would be implemented at the end of the week − March 13.
 Now, five years later, more than 7 million people have died from COVID-19 globally, according toWHO, with more than1.2 million deaths in the United Statesalone.
 In the fall of 2024, theFood and Drug Administration approved updated COVID-19 vaccines, available at healthcare facilities nationwide. The vaccines, from Pfizer and Moderna, were designed to target the KP.2 variant of COVID using mRNA technology. These vaccines are available for everyone six months and older.
 Contributing: Adrianna Rodriguez, USA TODAY
 Greta Cross is a national trending reporter at USA TODAY. Follow her on X and Instagram @gretalcross. Story idea? Email her atgcross@usatoday.com.</t>
  </si>
  <si>
    <t>https://www.usatoday.com/story/news/nation/2025/03/11/covid-march-11-2020-news-events/82227555007/</t>
  </si>
  <si>
    <t>We may not know who the next president is on Tuesday. When were past races called?</t>
  </si>
  <si>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</si>
  <si>
    <t>https://www.usatoday.com/story/news/politics/elections/2024/11/05/how-long-did-the-2020-election-last/76081315007/</t>
  </si>
  <si>
    <t>Thanks to coronavirus, we'll mostly remember 2020 as the year when things didn't happen</t>
  </si>
  <si>
    <t>A few months ago, oran eternity in coronavirus time, I added a line tomy Twitter profilethat spoke to my general anxiety and lack of enthusiasm for the immediate future.
 “2020 is going to be … a year,” I posted. In Chandler Bing terms, could I havebeenany less enthusiastic about what was ahead?
 It turns out the joke was way too on target. COVID-19 has put a halt to daily life as we knew it. It’s like a “Black Mirror” episode where a genius hacker hits a global pause button, forcing everyone to stand on a treadmill that goes nowhere, while creating the illusion of moving forward.
 Unless we are heroes like doctors and nurses, or grocery store staffers keeping the shelves stocked, the most helpful thing we can do right now is to stop doing certain things.
 We'restaying homeand social distancing in order to help save lives. We'veput our daily routines and rituals on holdfor the good of everyone. And with no concrete date for when the pandemic will end, we need to be in this for the long haul.
 While 2020 will go down in history for a virus that knew no geographic boundaries, it also could be remembered as the year of what got canceled. What never took place.
 What didn't happen, in order to keep the crisis from becoming a worst-case catastrophe.
 A year from now, what will you remember about this particular moment? Perhaps all the things you didn't do.
 If you’re young enough to be in school or college, you didn’t go to class after a certain point. There was no class trip, no weekend's worth of graduation parties, not even a chance to give heartfelt thanks to that one favorite teacher who expanded your world through learning.
 If you were born last month, this month or any of several foreseeable future months, you didn’t get to celebrate with all of your family and friends. They rallied to make it special for you with FaceTime visits and a Zoom meeting to watch you blow out your candles. But the frosting tastes a little less sweet when you’re not sharing it with your entire guest list.
 You didn’t go to the multiplex to see thenew James Bond movieorthe live-action remake of “Mulan”in the spring, and perhaps any of the popcorn blockbusters planned for summer. Hollywood has put its theatrical release list on hold, at least for now. You never realized how much fun it is to share a film with a bunch of strangers, including the ones who keep asking their spouses, “What did she say? I don’t understand what’s happening!”
 You didn’t sit in front of a TV watching basketball or baseball or – yes, it could come to this, given the preseason's timing – football, not for a long stretch. Family members noticed a certain grumpiness about you and shook their heads as you retreated to the basement to see a classic golf match from 1986.
 And you didn’t get hooked on the 2020 Summer Olympics in Tokyo. They got rescheduled for 2021. Under the new normal, large group events that mark the passage of years, from personal milestones like weddings to shared cultural markers like the Olympics, have temporarily vanished. Admit it, have you suddenly thought in the middle of watching a film on cable or Netflix, “What are they doing? Don’t they know how dangerous standing in a crowd that big is?”
 With schedules disrupted, you didn't find it easy to keep track of which day of the week it was. Weekends, once so TGIF precious, began to lose their importance. If you were under 60, you vowed not to drift into a similar limbo of endless days upon retirement.
 For what seemed like eons, you didn’t sit down for a nice meal inside a restaurant. Instead, you placed carryout orders that were purchased online and dropped on your porch or brought to your vehicle’s passenger side with the same precautions Superman might take to handle kryptonite.
 You didn’t go to the office, because you were working at home, if you were lucky. You unpacked the old jokes about wearing pajamas on the job. You muttered swear words under your breath at the thousand little hiccups involved with an online commute. Your tech support person rolled his or her eyes silently at your desperate emails – “I’m having trouble logging on and I can’t see anyone on Skype and everything I type is now in a comic sans font” – and maintained remarkable composure.
 When your employment luck ran out, you didn’t have a job anymore. Maybe a supervisor at a small business broke the news to you, and her or his own heart ached, too. Or maybe you read it in a corporate memo. Either way, it hurt the same. You worried whether this would be a brief layoff or if the depth of this post-pandemic recession would surpass anything you experienced in 2008. You didn’t sleep well that night. Or the next night. Or the ones after that.
 Although you smiled through the tears, you didn’t get to hug your parents or grandparents, because assisted living complexes had to lock their doors to visitors. You could talk on the phone and drive over to wave through a window. You even could touch hands on either side of the glass, like those clichéd scenes of prison visits on TV crime dramas. You knew it was for the best. So why did it feel as if you were punishing them – and yourself?
 The tragic reality of the pandemic eventually will end, of course. It will be safe again to come together in large groups.
 If you are blessed beyond measure, you won'’t lose a loved one to the virus. But almost without exception, you will know someone who died: a neighbor, a person who went to your church or health club, a shop owner, a local politician, a famous face on TV.
 The toll of the pandemic will be too much to bear, and yet we will get through it, because that's what humanity does. We endure. We keep waking up and putting one foot in front of another until we’re walking again, just as we did before, just as we've always done.
 Once 2020 is firmly in our rearview mirror, the grief of what occurred could stay with us forever. Scars will run deep. Compassion might increase. As Robert F. Kennedy told a crowd in Indiana in 1968, informing them of Martin Luther King Jr.’s assassination and quoting the Greek poet Aschylus, “Even in our sleep, pain which cannot forget falls drop by drop upon the heart, until in our own despair, against our will, comes wisdom through the awful grace of God.’”
 It's possible that we will enter 2021 feeling more empathetic to those outside of our immediate circle. Maybe we’ll care more about the sick, hurting and hungry, the bullied and belittled, the marginalized by hatred or poverty who surround us in the vast web of societal connections that we’ve taken for granted up to now.
 If that’s wishful thinking, then let the wish linger much longer than the virus.</t>
  </si>
  <si>
    <t>https://www.usatoday.com/story/life/2020/04/14/2020-canceled-coronavirus-makes-year-things-didnt-happen/2992020001/</t>
  </si>
  <si>
    <t>breitbart.com</t>
  </si>
  <si>
    <t>Pollak: The Unabashed Socialism of the 2020 Democratic Party Primary</t>
  </si>
  <si>
    <t>2020-07-14T00:00:15Z</t>
  </si>
  <si>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</si>
  <si>
    <t>https://www.breitbart.com/2020-election/2020/07/14/red-november-the-unabashed-socialism-of-the-2020-democratic-party-primary/</t>
  </si>
  <si>
    <t>Jonathan Turley: ‘Why on Earth’ Would Someone Oppose Reviewing the 2020 Election?</t>
  </si>
  <si>
    <t>2021-01-04T11:28:54Z</t>
  </si>
  <si>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</si>
  <si>
    <t>https://www.breitbart.com/clips/2021/01/04/jonathan-turley-why-on-earth-would-someone-oppose-reviewing-the-2020-election/</t>
  </si>
  <si>
    <t>GOP Lawmakers Double Down: ‘Media Do Not Get to Determine Who the President Is’</t>
  </si>
  <si>
    <t>2020-11-07T13:35:55Z</t>
  </si>
  <si>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</si>
  <si>
    <t>https://www.breitbart.com/politics/2020/11/07/gop-lawmakers-double-down-media-do-not-get-to-determine-who-the-president-is/</t>
  </si>
  <si>
    <t>***Live Updates*** Day Two: 2020 Election Results</t>
  </si>
  <si>
    <t>2020-11-04T08:21:00Z</t>
  </si>
  <si>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</si>
  <si>
    <t>https://www.breitbart.com/2020-election/2020/11/04/live-updates-day-two-2020-election-results/</t>
  </si>
  <si>
    <t>Scarborough: If You Don’t Accept 2020 Results, ‘Just Get the Hell Out’ of the Country</t>
  </si>
  <si>
    <t>2021-05-21T07:22:25Z</t>
  </si>
  <si>
    <t>MSNBC “Morning Joe” host Joe Scarborough on Friday delivered a long-winded rant directed at Republicans for continuing to not accept the 2020 presidential election results.
 After noting Republicans take exception to people disrespecting the American flag by kneeling for the anthem but not what the flag stands for itself, a screaming Scarborough urged those who still think the election was rigged to “just get the hell out.”
 “If you believe that, I will say to you what many of you said in the 1960s: America, love it or leave it,” Scarborough exclaimed. “If you don’t have respect in American democracy anymore if you don’t respect Madisonian checks and balances if your guy doesn’t win, if that’s the new rules of engagement for this great republic, then just leave our country because you’re unworthy of it.”
 “There are millions of immigrants who will come here and raise their right hand and buy into the creed and believe that we are exceptional, that believe American democracy is the greatest government on the face of the Earth,” he continued. “And they will do it proudly. They will salute the flag proudly. And most importantly, they will fight for what that flag represents while you shame yourself. While you disgrace yourself. While you disgrace our country in the eyes of the world. Yes, this is all on you. Get the facts! Live in the light! Follow the truth! And love this country! And stop this! Or leave. Or leave. If you’re going to believe a reality TV show host’s lies about the American republic, his desecration of American exceptionalism, then just get the hell out. We don’t want you here. That’s all I’ve got to say.”
 Follow Trent Baker on Twitter@MagnifiTrent
 Pleaselet us knowif you're having issues with commenting.</t>
  </si>
  <si>
    <t>https://www.breitbart.com/clips/2021/05/21/scarborough-if-you-dont-accept-2020-results-just-get-the-hell-out-of-the-country/</t>
  </si>
  <si>
    <t>Party’s Over: Trump Orders Purge of ‘Critical Race Theory’ from Federal Agencies</t>
  </si>
  <si>
    <t>2020-09-04T20:53:47Z</t>
  </si>
  <si>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</si>
  <si>
    <t>https://www.breitbart.com/tech/2020/09/04/partys-over-trump-orders-purge-of-critical-race-theory-from-federal-agencies/</t>
  </si>
  <si>
    <t>NYT: Democrats’ ‘Dark Money’ Outspent Republicans’ by 66% in 2020</t>
  </si>
  <si>
    <t>2022-01-30T12:29:57Z</t>
  </si>
  <si>
    <t>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</si>
  <si>
    <t>https://www.breitbart.com/politics/2022/01/30/nyt-democrats-dark-money-outspent-republicans-by-66-in-2020-election/</t>
  </si>
  <si>
    <t>Nina Jankowicz, 2020: Government Should Not Be in ‘Business’ of Policing ‘Disinformation’</t>
  </si>
  <si>
    <t>2022-05-01T21:47:17Z</t>
  </si>
  <si>
    <t>Nina Jankowicz, the newly-appointed head of the Biden administration’s Disinformation Governance Board, told Congress in October 2020 that she saw no role for the federal government in policing disinformation online.
 “I do not think government should be in that business,” she said during testimony before the House Intelligence Committee.
 Jankowicz, who has since argued for a strong government role in pushing back against “disinformation,” was questioned by Rep. Jim Himes (D-CT), who said that his experience growing up in tyrannical countries in Latin America had made him “violently allergic” to governments that claimed to be regulating the flow of information.
 “We start going down that path, and we are not just ‘breaking democracy,’ we are breaking classical, enlightened liberalism,” he said. He added that he believed that it was “pretty lame” that government appeared to be outsourcing the effort to deal with disinformation to Silicon Valley tech companies.
 Himes also challenged Jankowicz: “I actually want to see the evidence that people are seeing this information, and are in a meaningful way, in a material way, dismantling our democracy through violence or through political organizations.”
 He also noted that there were also examples of Democrats using “disinformation,” such as then-President Barack Obama “that if they wanted to keep their private insurance plan, they could do it. That turned out not to be true.” He asked whether social media companies should therefore pursue the former president as well for breaking his promise to the voters.
 Jankowicz replied: “I totally understand your aversion to the idea that government would fight back against disinformation, in fact — the use of that term has been basically the foundation to some very draconian fake news laws in places like Russia, or even Singapore. I do not think government should be in that business, either.”
 As evidence that disinformation was leading to violence, she cited two familiar Democratic Party talking points. One was the alleged kidnapping plot against Gov. Gretchen Whitmer (D-MI). Jankowicz claimed that social media “played a huge role in allowing that group to organize.”
 The trials of the alleged kidnappers ended in two acquittals and two hung juries last month, amid evidence of entrapment by the FBI. Then-candidate Joe Bidenfalsely blamedPresident Trump for the plot, circulating disinformation that the kidnappers had been inspired by him to commit alleged acts of violence.
 Jankowicz also cited claims by a British TV channel that Cambridge Analytica had used data to “selectively target black voters with voter suppression ads.” These werenegative adsabout Hillary Clinton, allegedly designed to encourage black voters to stay home during the 2016 presidential election. However, Jankowicz did not actually cite any “disinformation” in the ads.
 Rep. Himes was not convinced by her responses to his questions. “We’ve had misinformation and yellow journalism and terrible media and voter suppression forever,” he said.
 Department of Homeland Security Secretary Alejandro MayorkasdefendedJankowicz and the board on Sunday, saying that they would adopt “best practices” from around the world, and instruct “operators” within the department who would be the ones responsible for “executing” those policies in the field.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</si>
  <si>
    <t>https://www.breitbart.com/politics/2022/05/01/nina-jankowicz-2020-government-should-not-be-in-business-of-policing-disinformation/</t>
  </si>
  <si>
    <t>2025-06-12T03:43:05Z</t>
  </si>
  <si>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</si>
  <si>
    <t>https://www.breitbart.com/tag/2020/</t>
  </si>
  <si>
    <t>Poll: 7-in-10 Voters Believe in ‘America First’ Agenda Ahead of 2020 Election</t>
  </si>
  <si>
    <t>2019-10-29T16:42:35Z</t>
  </si>
  <si>
    <t>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t>
  </si>
  <si>
    <t>https://www.breitbart.com/politics/2019/10/29/poll-7-in-10-voters-believe-in-america-first-agenda-ahead-of-2020-election/</t>
  </si>
  <si>
    <t>dailykos.com</t>
  </si>
  <si>
    <t>WTF! Trump received less votes than 2020 and he still won....?</t>
  </si>
  <si>
    <t>Trump has received about 71.2M versus MVP Harris who current has 68.3M.
 The numbers will possible inch higher once CA comes in, but doesnt really change the fact that he will not have done hugely better that 2020, rather MVP Harris has done significantly worse that Biden!
 So, I think we can all see what happened. All the noise that was made about the Democrats GOTV and millions of postcards and phonebanks and texts, all to nought — we just could not get enough democrats to come our and vote.
 EDITED: Added the WTF to the diary title!</t>
  </si>
  <si>
    <t>https://www.dailykos.com/stories/2024/11/6/2283328/-Trump-received-less-votes-than-2020-and-he-still-won</t>
  </si>
  <si>
    <t>Morning Digest: We've finished calculating the 2020 presidential results for every House district</t>
  </si>
  <si>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</si>
  <si>
    <t>https://www.dailykos.com/stories/2021/2/22/2017070/-Morning-Digest-We-ve-finished-calculating-the-2020-presidential-results-for-every-House-district</t>
  </si>
  <si>
    <t>This state wants to brainwash kids about Trump's 2020 election lie</t>
  </si>
  <si>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</si>
  <si>
    <t>https://www.dailykos.com/stories/2025/3/14/2310155/-This-state-wants-to-brainwash-kids-about-Trump-s-2020-election-lie</t>
  </si>
  <si>
    <t>2020's Top 10 Countries in the Global EV Revolution</t>
  </si>
  <si>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</si>
  <si>
    <t>https://www.dailykos.com/stories/2021/3/21/2022085/-2020-s-Top-10-Countries-in-the-Global-EV-Revolution</t>
  </si>
  <si>
    <t>Daily Kos Elections 2020 primary calendar</t>
  </si>
  <si>
    <t>Below you’ll find Daily Kos Elections’ calendar of major-party filing deadlines, primaries, and runoffs for the 2020 elections. Note that the dates listed in the first three columns below are for each state’s congressional and state primaries. The last column lists the date for each state’s Democratic presidential primary (or caucus). Dates in bold reflect simultaneous presidential and downballot primaries. Shaded cells reflect dates that have been changed.
 For a chronological version of this calendar,click here. For our calendar of key downballot races in 2020,click here.
 Wyoming Democratshave canceledin-person voting for their presidential primary (which had been scheduled for April 4) and will accept mail ballots until April 17.
 Below is a table containing dates of key 2020 party conventions, though these dates are subject to change.
 Statewide: NoneVA-05: 13-JunVA-07: 18-Jul
 Sources:Green Papers,Run For Office,Frontloading HQ, state elections sites and statutes</t>
  </si>
  <si>
    <t>https://www.dailykos.com/stories/2020/1/14/1855760/-Daily-Kos-Elections-2020-primary-calendar</t>
  </si>
  <si>
    <t>Daily Kos Elections announces publication of 2020 presidential results for new House districts</t>
  </si>
  <si>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</si>
  <si>
    <t>https://www.dailykos.com/stories/2022/9/7/2121191/-Daily-Kos-Elections-announces-publication-of-2020-presidential-results-for-new-House-districts</t>
  </si>
  <si>
    <t>Check out our demographics guide for every 2020 general election candidate for Congress and governor</t>
  </si>
  <si>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</si>
  <si>
    <t>https://www.dailykos.com/stories/2020/1/8/1910007/-Check-out-our-demographics-guide-for-every-2020-general-election-candidate-for-Congress-and-governor</t>
  </si>
  <si>
    <t>You Didn't Hear TFG Called 2020 Attack on US Soldiers "a very nice thing"-?</t>
  </si>
  <si>
    <t>Holy Shit! Just This Week, El Drumpfo Called A 2020 Attack On U.S. Soldiers "A Very Nice Thing."
 El Drumpfo was responding to a reporter's question in Milwaukee just a couple of days ago, and the exchange went like this:
 Reporter:“do you believe that you should have been tougher on Iran after they had launched ballistic missiles in 2020 on US forces in Iraq, leaving more than a hundred US soldiers injured?” . . .
 El Drumpfo:. . . they had to do that, and I thought it was a very nice thing.”
 Let me be clear. The Former President of the United States . . . who is running for re-election RIGHT NOW. . . stated that an Iranian missile attack on American soldiers was: "a very nice thing." In the same rambling, incoherent presser, he ALSO suggested that injuries 100+ U.S. soldiers experienced were mere "headaches."
 This happened in the last 72 hours. So, here's my question . . . why are you hearing this just now, from me?
 The traditional legacy media is so, so, dead - deceased, buried, with its ashes scattered to the far ends of the Earth. Guy wants to be President, but he calls an attack on his own soldiers "a very nice thing." Like, I get it . . . I know we live in crazy times. But how is this NOT news?</t>
  </si>
  <si>
    <t>https://www.dailykos.com/stories/2024/10/3/2274479/-You-Didn-t-Hear-TFG-Called-2020-Attack-on-US-Soldiers-a-very-nice-thing</t>
  </si>
  <si>
    <t>finance.yahoo.com</t>
  </si>
  <si>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</si>
  <si>
    <t>https://finance.yahoo.com/news/what-happened-in-the-economy-in-2020-180805482.html</t>
  </si>
  <si>
    <t>Amazon Prime Day 2020 Preview Yahoo Finance Video Updated Mon, Oct 12, 2020, 9:06 AM In This Article: AMZN Amazon Prime Day, the two day shopping event, will take place from October 13 through 14. Yahoo Finance’s Julia La Roche weighs in. Terms and Privacy Policy Your Privacy Choices CA Privacy Notice More Info Recommended Stories</t>
  </si>
  <si>
    <t>https://finance.yahoo.com/video/amazon-prime-day-2020-preview-160620149.html</t>
  </si>
  <si>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</si>
  <si>
    <t>https://finance.yahoo.com/news/tech-winners-2020-160023810.html</t>
  </si>
  <si>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</si>
  <si>
    <t>https://finance.yahoo.com/news/the-most-overlooked-business-story-of-2020-174801942.html</t>
  </si>
  <si>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</si>
  <si>
    <t>https://finance.yahoo.com/news/stocks-havent-fallen-this-much-since-2020-their-recovery-could-look-different-this-time-212645541.html</t>
  </si>
  <si>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</si>
  <si>
    <t>https://finance.yahoo.com/quote/2020.HK/</t>
  </si>
  <si>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</si>
  <si>
    <t>https://finance.yahoo.com/quote/2020.OL/</t>
  </si>
  <si>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</si>
  <si>
    <t>https://finance.yahoo.com/quote/2020.SR/</t>
  </si>
  <si>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</si>
  <si>
    <t>https://finance.yahoo.com/news/2020-review-google-130032427.html</t>
  </si>
  <si>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</si>
  <si>
    <t>https://finance.yahoo.com/news/did-2020-print-magazines-120042248.html</t>
  </si>
  <si>
    <t>cnbc.com</t>
  </si>
  <si>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</si>
  <si>
    <t>https://www.cnbc.com/2021/03/19/spacs-break-2020-record-in-just-3-months.html</t>
  </si>
  <si>
    <t>Climate change: 2020 one of hottest years on record, tied with 2016 Skip Navigation Markets Business Investing Tech Politics Video Watchlist Investing Club PRO Livestream Menu Key Points 2020 has tied with 2016 as the hottest year on record, marking the end of the hottest decade in the books as the world grapples with climate change, researchers confirmed on Friday. The finding, published by the Copernicus Climate Change Service, continues a relentless upward trend in global temperatures due to greenhouse gas emissions trapping heat in the atmosphere. The Arctic and northern Siberia saw the largest temperature surges, and Europe had its hottest year on record. In this article Follow your favorite stocks CREATE FREE ACCOUNT The Bond Fire, started by a structure fire that extended into nearby vegetation on Thursday, Dec. 3, 2020 in Silverado, CA. Dangerous fire weather conditions are in effect across wide swaths of Southern California as dry, gusty Santa Ana winds are expected from the northeast. Kent Nishimura | Los Angeles Times | Getty Images 2020 has tied with 2016 as the hottest year on record, marking the end of the hottest decade in the books as the world grapples with global climate change , according to a study released Friday. The finding by the Copernicus Climate Change Service , an intergovernmental agency that supports European climate policy, continues a relentless upward trend in global temperatures due to greenhouse gas emissions trapping heat in the atmosphere. "2020 stands out for its exceptional warmth in the Arctic and a record number of tropical storms in the North Atlantic," said Carlo Buontempo, director of Copernicus service. "It is no surprise that the last decade was the warmest on record, and is yet another reminder of the urgency of ambitious emissions reductions to prevent adverse climate impacts in the future," he said. The evidence of record heat in 2020 mounted throughout the year: Dry and hot conditions fueled massive record-breaking wildfires in Australia and later in the U.S. West; Arctic sea ice plummeted to its second-lowest levels on record; and worldwide, monthly temperature records were shattered. Last year was 0.6 degree Celsius (1.08 degrees Fahrenheit) above the average for the period between 1981 and 2010 and about 1.25 degrees Celsius (2.25 degrees Fahrenheit) above the average for the preindustrial period between 1850 and 1900, according to the agency. Zoom In Icon Arrows pointing outwards Some parts of the world heated up more than others as carbon emissions continued to rise. Europe had its hottest year on record, with temperatures that were 1.4 degree Celsius (2.53 degrees Fahrenheit) hotter than 2019, which was previously the warmest year. The Arctic and northern Siberia saw the largest temperature surges, reaching over 6 degrees Celsius (10.8 degrees Fahrenheit) above average for the year. Western Siberia had an exceptionally hot winter and spring, while the Siberian Arctic and much of the Arctic Ocean had exceptionally hot temperatures in summer and autumn. Major wildfires near the Arctic Circle also released a record amount of carbon emissions in 2020 and Arctic sea ice hit record lows for the months of July and October. "Until the net global emissions reduce to zero, CO2 will continue to accumulate in the atmosphere and drive further climate change," said Vincent-Henri Peuch, director of the Copernicus Atmosphere Monitoring Service. 2016, the previous hottest year, was very hot because temperatures had been impacted by an El Nino, which sent a significant amount of heat from the Pacific Ocean into the atmosphere. The last six years were the warmest six on record. — Graphics by CNBC&amp;#x27;s Nate Rattner watch now VIDEO 2:21 02:21 Countries should invest more in sustainable development post-coronavirus, says expert Singapore Summit</t>
  </si>
  <si>
    <t>https://www.cnbc.com/2021/01/08/climate-change-2020-one-of-the-hottest-years-on-record-tied-with-2016.html</t>
  </si>
  <si>
    <t>U.S. trade deficit August 2020 Skip Navigation Markets Business Investing Tech Politics Video Watchlist Investing Club PRO Livestream Menu Key Points The U.S. trade deficit rose in August to the highest level in 14 years. The gap between the goods and services the U.S. sells and what it buys abroad widened by 5.9% in August to $67.1 billion, the Commerce Department said. The politically sensitive deficit in the trade of goods with China fell 6.7% to $26.4 billion. Container ships sit parked at the Port of Oakland on September 18, 2020 in Oakland, California. Justin Sullivan | Getty Images The U.S. trade deficit rose in August to the highest level in 14 years. The Commerce Department reported Tuesday that the gap between the goods and services the United States sells and what it buys abroad climbed 5.9% in August to $67.1 billion. The politically sensitive deficit in the trade of goods with China fell 6.7% to $26.4 billion. So far this year, the United States has recorded a trade gap of $421.8 billion, up 5.7% from January-August 2019. Exports rose 2.2% to $171.9 billion, but imports rose more — up 3.2% to $239 billion. President Donald Trump campaigned on a pledge to bring down America&amp;#x27;s persistent trade deficits. He imposed taxes on imports of steel, aluminum and most products from China, among other things; and renegotiated a North American trade pact in an effort to encourage more production in the United States. But the trade deficit won&amp;#x27;t yield easily to changes in trade policy. As the U.S. economy recovers from springtime shutdowns, Americans are buying more imported goods while foreign demand for U.S. products remains weak. And after a strict lockdown in February, China&amp;#x27;s factories got up and running faster than those in most places.</t>
  </si>
  <si>
    <t>https://www.cnbc.com/2020/10/06/us-trade-deficit-august-2020.html</t>
  </si>
  <si>
    <t>U.S. Justice Department releases report on Trump attempt to overturn 2020 election Skip Navigation Markets Business Investing Tech Politics Video Watchlist Investing Club PRO Livestream Menu Special Counsel Jack Smith makes a statement to reporters about the 37 federal charges returned by a grand jury in an indictment of former U.S. President Donald Trump on charges of unauthorized retention of classified documents and conspiracy to obstruct justice as Smith speaks at his offices in Washington, U.S. June 9, 2023. Jonathan Ernst | Reuters The U.S. Justice Department on Tuesday released Special Counsel Jack Smith&amp;#x27;s report on Donald Trump&amp;#x27;s attempts to overturn the 2020 election, the last act of a prosecutor whose historic criminal cases were thwarted by Trump&amp;#x27;s November election victory. The report is expected to detail Smith&amp;#x27;s decision to bring a four-count indictment against Trump accusing the Republican president-elect of plotting to obstruct the collection and certification of votes following his 2020 defeat by Democratic President Joe Biden. A second section of the report details Smith&amp;#x27;s case accusing Trump of illegally retaining sensitive national security documents after leaving the White House in 2021. The Justice Department has committed not to make that portion public while legal proceedings continue against two Trump associates charged in the case. Smith, who left the Justice Department last week, dropped both cases against Trump after he won last year&amp;#x27;s election, citing a longstanding Justice Department policy against prosecuting a sitting president. Neither reached a trial. Trump pleaded not guilty to all charges. Regularly assailing Smith as "deranged," Trump depicted the cases as politically motivated attempts to damage his campaign and political movement. Trump and his two former co-defendants in the classified documents case sought to block the release of the report, days before Trump is set to return to office on Jan. 20. Courts rebuffed their demands to prevent its publication altogether. U.S. District Judge Aileen Cannon, who presided over the documents case, has ordered the Justice Department for now to halt plans to allow certain senior members of Congress to privately review the documents section of the report. It&amp;#x27;s unclear how much new information the public portion of the report will contain. Prosecutors gave a detailed view of their case against Trump in previous court filings. A congressional panel in 2022 published its own 700-page account of Trump&amp;#x27;s actions following the 2020 election. Both investigations concluded that Trump spread false claims of widespread voter fraud following the 2020 election, pressured state lawmakers not to certify the vote and ultimately sought to use fraudulent groups of electors pledged to vote for Trump, in states actually won by Biden, in an attempt to stop Congress from certifying Biden&amp;#x27;s win. The effort culminated in the Jan. 6, 2021 attack on the U.S. Capitol when a mob of Trump supporters stormed Congress in a failed attempt to stop lawmakers from certifying the vote. Smith&amp;#x27;s case faced legal hurdles even before Trump&amp;#x27;s election win. It was paused for months while Trump pressed his claim that he could not be prosecuted for official actions taken as president. The U.S. Supreme Court&amp;#x27;s conservative majority largely sided with him, granting former presidents broad immunity from criminal prosecution.</t>
  </si>
  <si>
    <t>https://www.cnbc.com/2025/01/14/us-justice-department-releases-report-on-trump-attempt-to-overturn-2020-election.html</t>
  </si>
  <si>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</si>
  <si>
    <t>https://www.cnbc.com/2020/06/16/meet-the-2020-cnbc-disruptor-50-companies.html</t>
  </si>
  <si>
    <t>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t>
  </si>
  <si>
    <t>https://www.cnbc.com/2021/01/28/toyota-beats-volkswagen-to-become-worlds-nopoint1-car-seller-in-2020.html</t>
  </si>
  <si>
    <t>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t>
  </si>
  <si>
    <t>https://www.cnbc.com/2021/01/18/china-economy-release-of-fourth-quarter-full-year-2020-gdp.html</t>
  </si>
  <si>
    <t>The Covid recession brought extreme inequality in 2020 Skip Navigation Markets Business Investing Tech Politics Video Watchlist Investing Club PRO Livestream Menu Key Points The Covid recession, and the extreme inequality it wrought, will be among 2020&amp;#x27;s legacies. Rich, White and college-educated Americans saw jobs recover quickly, and their wealth balloon as the stock market and housing prices reached new highs. Racial minorities, low earners, women and those without a college degree were more likely to be unemployed and fall into poverty. The New York Stock Exchange (NYSE) in lower Manhattan. Spencer Platt | Getty Images The legacy of 2020 will endure in America&amp;#x27;s collective memory for many reasons: a deadly pandemic, a vicious presidential election. It also brought the most severe recession in almost a century, which hurtled millions into poverty and joblessness and created burgeoning inequality. That financial pain has been concentrated among certain groups, like racial minorities, women, low earners, those without college degrees and workers in the service economy, like restaurant and retail jobs that require face-to-face contact. (These categories often overlap.) Zoom In Icon Arrows pointing outwards &amp;#x27;No pain at all&amp;#x27; To a certain extent, these dynamics play out in all downturns. But the coronavirus-fueled economic shock has been singular in the way rich, White Americans rebounded from the depths of the crisis. For many of them, the recession ended months ago. They quickly recovered lost jobs. Their wealth has never been higher, as stocks and home prices soared. Their disproportionate ownership of such assets means other groups shared little in their riches. Zoom In Icon Arrows pointing outwards The result is a financial chasm between the have and the have-nots that emerged faster than prior downturns, according to economists. "The most marginalized groups always get hit the hardest," according to Wendy Edelberg, director of the Hamilton Project, an economic policy arm of the Brookings Institution. "But what is so unusual is, for a lot of other groups, it&amp;#x27;s not that they&amp;#x27;re being hit less — it&amp;#x27;s that they&amp;#x27;re seeing no pain at all," she said. "And they&amp;#x27;re doing well." Zoom In Icon Arrows pointing outwards Unequal recovery The diverging experiences of those at the top and bottom have led many economists to identify the recovery as having a "K" shape . But that unequal financial pain wasn&amp;#x27;t apparent in the early months of the pandemic recession. Congress swiftly passed the CARES Act, a $2.2 trillion relief package, propping up household income with extra unemployment benefits and stimulus checks. Bill Clark | CQ-Roll Call, Inc. | Getty Images Nearly 40% of jobs had evaporated for the lowest earners by the height of the crisis, according to Harvard&amp;#x27;s Opportunity Insights project. But a $600 weekly boost to jobless benefits more than doubled household income for many of them. The cash infusion helped lift millions out of poverty . In June, there were almost 5 million fewer Americans among the ranks of the poor than at the start of the year, before the pandemic, according to data published by researchers at the University of Chicago, University of Notre Dame and Zhejiang University. This may not have been the most unequal recession, but it was clearly the most unequal recovery. Olugbenga Ajilore senior economist at the Center for American Progress But inequality flourished as that aid ran dry. Nearly 8 million people fell into poverty between June and November, the researchers found. Poverty grew in each successive month over that time, they found, increasing most for Blacks, children and those with a high school education or less. Food insecurity has grown and more households report being behind on bills like rent, federal data shows. More from Personal Finance: Your second stimulus check may be delayed if you changed banks, moved Workers left almost all of their vacation days on the table in 2020 New stimulus package makes it easier to qualify for food stamps "This may not have been the most unequal recession, but it was clearly the most unequal recovery," said Olugbenga Ajilore, a senior economist at the Center for American Progress. The new year may usher in buoyed household finances and reduced inequality. President Donald Trump has signed a $900 billion relief package into law, injecting families with extra jobless benefits until mid-March and $600-per-person stimulus checks. Unemployment and jobs Jobs among the lowest earners (those making less than $27,000 a year) were still down almost 20% from pre-pandemic levels by mid-November, according to Opportunity Insights. Extra unemployment aid expired months ago. The unemployment rate for Blacks remains above 10% and is almost twice that of Whites, at 5.9%. Those without a high-school degree are also unemployed at a rate more than double those with a college degree. Zoom In Icon Arrows pointing outwards The official jobless rate among women is also artificially low — women, more so than men, have left the labor force entirely due to childcare and other responsibilities, said Edelberg, a former chief economist at the Congressional Budget Office. The rich prosper Meanwhile, the highest earners (those making more than $60,000 a year) had fully recovered their job losses by the end of August, according to Opportunity Insights. By mid-November, they had about 1% more jobs than they did before the pandemic. Richer Americans typically take a financial hit via their wealth holdings — stock and home prices, for example — rather than lost job income during recessions, economists said. But that wealth has proved resilient in the Covid downturn. "That&amp;#x27;s one of the things that makes this recession so unusual," Edelberg said. "For a lot of people, the crisis is over. It&amp;#x27;s invisible to them." Stocks, homes Stock prices (as measured by the S&amp;P 500 index ) plunged 34% by the market bottom on March 23 — the quickest decline of its kind in history. But they recovered at their fastest-ever clip, fully erasing losses by Aug. 21, less than five months later. The S&amp;P 500 has swelled by 67% from the market trough. The index was up more than 15% in 2020. Zoom In Icon Arrows pointing outwards Home prices were also up almost 15% in November from the year prior, according to the National Association of Realtors. (The group measures median price, which is the one right in the middle of a range.) Wealthy Americans are also spending about 5% less money than before the pandemic, while the lowest earners are spending about 3% more, according to Opportunity Insights. That suggests the wealthy may be boosting their savings, while others are unable to do so. "Low earners] are living paycheck to paycheck, so any money they get they&amp;#x27;ll spend on bills, food," Ajilore said. "High-income [people] are maybe doing fewer leisure activities, so instead of spending it they&amp;#x27;re holding that money back."</t>
  </si>
  <si>
    <t>https://www.cnbc.com/2021/01/01/the-covid-recession-brought-extreme-inequality-in-2020.html</t>
  </si>
  <si>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</si>
  <si>
    <t>https://www.cnbc.com/2021/02/02/amazon-amzn-earnings-q4-2020.html</t>
  </si>
  <si>
    <t>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t>
  </si>
  <si>
    <t>https://www.cnbc.com/2021/03/31/covid-was-third-leading-cause-of-death-in-us-in-2020-behind-heart-disease-and-cancer-cdc-says.html</t>
  </si>
  <si>
    <t>newsweek.com</t>
  </si>
  <si>
    <t>https://www.newsweek.com/50-biggest-stories-about-environment-2020-1557575</t>
  </si>
  <si>
    <t>https://www.newsweek.com/it-cant-get-any-worse-2020-heres-2021-political-wish-list-opinion-1557066</t>
  </si>
  <si>
    <t>https://press.foxnews.com/2020/12/fox-news-media-signs-laura-ingraham-to-new-multi-year-deal</t>
  </si>
  <si>
    <t>Two things dominated the news cycle in 2020: the coronavirus pandemic, and the 2020 presidential election. But these weren't the only noteworthy events of the year. Plenty of other significant things happened, especially in the environment and climate change spheres.
A handful of years ago, some of the world's leading scientists declared 2020 a critical year in the fight against climate change. Back in 2015, this declaration brought nearly 200 countries together to develop the Paris Climate Agreement, a pledge to reduce worldwide greenhouse gas emissions, and keep rising global temperatures in check. While the agreement had been successful in its mission so far, scientists say that it's not enough. More must be done to keep the world from becoming an uninhabitable hellscape, including wide-ranging public policies, checks on corporate emissions, and changes in the way the ordinary person lives.
Year in review: 50 major stories about the environment in 2020
Year in review: 50 major stories about the environment in 2020 | Justin McManus/The Age/Fairfax Media via Getty Images
As climate change becomes a more widely discussed and acknowledged issue in our lives, the reporting on it grows and becomes more comprehensive. There are now hundreds if not thousands of climate-related stories written each year where there used to be only a few. For example, The Guardian alone published 3,000 climate and environment-related articles in 2020. While we love to see such an important issue being given that much space, we know that it can be difficult to keep up with such an immense amount of information. So we did it for you.
Stacker compiled a list of 50 major stories about the environment that were published in 2020, using news archives and government resources. So without further ado, from the Bezos Earth Fund to the derecho that swept the Midwest, here are the biggest news stories about the environment that you may have missed in 2020.
You may also like: States with the most homes at risk of coastal flooding
January 22: Trump repeals the “Waters of the United States” regulation
January 22: Trump repeals the “Waters of the United States” regulation | vagabond54 / Shutterstock
January 22: Trump repeals the "Waters of the United States" regulation
In January, the Trump administration repealed the Obama-era "Waters of the United States" regulation that sought to protect streams, wetlands, and groundwater in an effort to keep the country's water supply clean. The repeal now allows landowners and developers to dump pollutants into waterways and to destroy wetlands in order to complete new construction projects.</t>
  </si>
  <si>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</si>
  <si>
    <t xml:space="preserve">NEW YORK – December 16, 2020 – FOX News Media has signed Laura Ingraham to a new multi-year deal where she will continue as the host of The Ingraham Angle (weekdays, 10-11 PM/ET) on FOX News Channel (FNC), announced Suzanne Scott, CEO of FOX News Media.
In making the announcement, Ms. Scott said, “Laura’s one-of-a-kind expertise and powerful commentary has provided an important voice to millions of Americans as a staple of our primetime lineup and we are thrilled to feature her insightful perspective across our platforms for many years to come.”
Since joining the primetime lineup in October of 2017, The Ingraham Angle’s audience has continued to grow, solidifying Ingraham’s place as the most-watched 10PM/ET host in cable news history — and the most-watched female host in cable history.
“With so many challenges facing Americans, I am more determined than ever to deliver the incisive, pull-no-punches analysis and commentary that our viewers expect and enjoy,” Ingraham said.  “It is a great privilege to host an hour each weeknight on FOX News to address the most important, most timely, and sometimes, the most hilarious moments of the day. Our team takes great pride in the work we do—and has fun doing it!”
Over the past three years, the Ingraham Angle has posted double-digit gains in Total Viewers, the 25-54 demographic and the even younger 18-49 demographic, according to Nielsen Media Research. With Ingraham at the helm, the 10PM/ET hour is experiencing its highest-rated year ever, averaging 3.6 million viewers and 650,000 in the 25-54 demo, resulting in this record-breaking year. Throughout the 2020 election cycle, The Ingraham Angle dominated the cable news landscape not only in the 10PM/ET hour, but also every hour of CNN and MSNBC’s programs across the board, including The Rachel Maddow Show at 9PM/ET.
Over the years, Ingraham has become well-known for a fearless, yet fair, approach to covering politics and the culture — often challenging the conventional thinking of the day. Just as important, she continues to feature the struggles and triumphs of everyday Americans who make the country work.
From her news-making interviews with President Donald Trump and his top cabinet members, to her reporting in Minneapolis after the death of George Floyd, Ingraham Angle viewers were given a birds-eye view of the ever-changing American landscape. She also hosted groundbreaking, emotional town hall events on the increasing violence in Chicago and, most recently in Georgia, on the highly anticipated Senate run-offs.
Additionally, she co-hosts Laura &amp; Raymond on the direct-to-consumer streaming service FOX Nation, where she and co-host Raymond Arroyo dive into the most topical news of the day in their signature satirical style.
Ingraham joined FNC in 2007 as a contributor, providing political analysis and commentary throughout the network’s daytime and primetime programming. Previously, her radio program earned her the spot as the most-listened-to woman in political talk radio on hundreds of stations nationwide. A graduate of Dartmouth College and the University of Virginia School of Law, she served as a litigator and Supreme Court law clerk for Justice Clarence Thomas. She is also a New York Times bestselling author of “Shut Up &amp; Sing,” “Power to the People,” “The Obama Diaries” and “Billionaire at the Barricades.”
FOX News Media operates the FOX News Channel (FNC), FOX Business Network (FBN), FOX News Digital, FOX News Audio, FOX News Books, the direct-to-consumer digital streaming services FOX Nation and FOX News International and the newly announced AVOD service FOX Weather. Currently the number one network in all of cable, FNC has also been the most watched television news channel for more than 18 consecutive years, while FBN currently ranks among the top business channels on cable. Owned by FOX Corporation, FOX News Media reaches 200 million people each month.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</si>
</sst>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1">
    <font>
      <sz val="10"/>
      <color rgb="FF000000"/>
      <name val="Arial"/>
      <scheme val="minor"/>
    </font>
    <font>
      <sz val="11"/>
      <color rgb="FF000000"/>
      <name val="Calibri"/>
    </font>
    <font>
      <u/>
      <sz val="11"/>
      <color rgb="FF000000"/>
      <name val="Calibri"/>
    </font>
    <font>
      <u/>
      <sz val="11"/>
      <color rgb="FF0000FF"/>
      <name val="Calibri"/>
    </font>
    <font>
      <u/>
      <sz val="10"/>
      <color rgb="FF0000FF"/>
      <name val="Arial"/>
    </font>
    <font>
      <u/>
      <sz val="10"/>
      <color rgb="FF0000FF"/>
      <name val="Arial"/>
    </font>
    <font>
      <sz val="10"/>
      <color theme="1"/>
      <name val="Arial"/>
      <scheme val="minor"/>
    </font>
    <font>
      <u/>
      <sz val="11"/>
      <color rgb="FF000000"/>
      <name val="Consolas"/>
    </font>
    <font>
      <sz val="11"/>
      <color rgb="FF000000"/>
      <name val="Consolas"/>
    </font>
    <font>
      <u/>
      <sz val="11"/>
      <color rgb="FF1155CC"/>
      <name val="Calibri, sans-serif"/>
    </font>
    <font>
      <u/>
      <sz val="10"/>
      <color theme="10"/>
      <name val="Arial"/>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20">
    <xf numFmtId="0" fontId="0" fillId="0" borderId="0" xfId="0"/>
    <xf numFmtId="0" fontId="1" fillId="0" borderId="0" xfId="0" applyFont="1" applyAlignment="1">
      <alignment horizontal="left"/>
    </xf>
    <xf numFmtId="0" fontId="1" fillId="0" borderId="0" xfId="0" applyFont="1" applyAlignment="1">
      <alignment horizontal="left" vertical="center"/>
    </xf>
    <xf numFmtId="0" fontId="2" fillId="0" borderId="0" xfId="0" applyFont="1" applyAlignment="1">
      <alignment horizontal="left"/>
    </xf>
    <xf numFmtId="0" fontId="1" fillId="0" borderId="0" xfId="0" applyFont="1" applyAlignment="1">
      <alignment horizontal="right"/>
    </xf>
    <xf numFmtId="0" fontId="3" fillId="0" borderId="0" xfId="0" applyFont="1" applyAlignment="1">
      <alignment horizontal="left"/>
    </xf>
    <xf numFmtId="0" fontId="1" fillId="0" borderId="0" xfId="0" applyFont="1"/>
    <xf numFmtId="0" fontId="4" fillId="0" borderId="0" xfId="0" applyFont="1"/>
    <xf numFmtId="0" fontId="5" fillId="0" borderId="0" xfId="0" applyFont="1"/>
    <xf numFmtId="0" fontId="6" fillId="0" borderId="0" xfId="0" applyFont="1" applyAlignment="1">
      <alignment vertical="center"/>
    </xf>
    <xf numFmtId="0" fontId="7" fillId="2" borderId="0" xfId="0" applyFont="1" applyFill="1"/>
    <xf numFmtId="0" fontId="6" fillId="0" borderId="0" xfId="0" applyFont="1" applyAlignment="1">
      <alignment vertical="center" wrapText="1"/>
    </xf>
    <xf numFmtId="0" fontId="6" fillId="0" borderId="0" xfId="0" applyFont="1" applyAlignment="1">
      <alignment wrapText="1"/>
    </xf>
    <xf numFmtId="0" fontId="6" fillId="0" borderId="0" xfId="0" applyFont="1"/>
    <xf numFmtId="0" fontId="8" fillId="2" borderId="0" xfId="0" applyFont="1" applyFill="1"/>
    <xf numFmtId="0" fontId="10" fillId="0" borderId="0" xfId="1" applyAlignment="1">
      <alignment horizontal="left"/>
    </xf>
    <xf numFmtId="0" fontId="1" fillId="0" borderId="0" xfId="0" applyFont="1" applyAlignment="1">
      <alignment horizontal="left"/>
    </xf>
    <xf numFmtId="0" fontId="0" fillId="0" borderId="0" xfId="0"/>
    <xf numFmtId="164" fontId="1" fillId="0" borderId="0" xfId="0" applyNumberFormat="1" applyFont="1" applyAlignment="1">
      <alignment horizontal="left"/>
    </xf>
    <xf numFmtId="0" fontId="1"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breitbart.com/" TargetMode="External"/><Relationship Id="rId21" Type="http://schemas.openxmlformats.org/officeDocument/2006/relationships/hyperlink" Target="http://cnn.com/" TargetMode="External"/><Relationship Id="rId42" Type="http://schemas.openxmlformats.org/officeDocument/2006/relationships/hyperlink" Target="https://www.foxnews.com/elections/2020/general-results" TargetMode="External"/><Relationship Id="rId63" Type="http://schemas.openxmlformats.org/officeDocument/2006/relationships/hyperlink" Target="http://people.com/" TargetMode="External"/><Relationship Id="rId84" Type="http://schemas.openxmlformats.org/officeDocument/2006/relationships/hyperlink" Target="https://nypost.com/2020/01/27/super-bowl-2020-is-overtaken-by-kobe-bryant-sorrow/" TargetMode="External"/><Relationship Id="rId138" Type="http://schemas.openxmlformats.org/officeDocument/2006/relationships/hyperlink" Target="https://www.dailykos.com/stories/2024/10/3/2274479/-You-Didn-t-Hear-TFG-Called-2020-Attack-on-US-Soldiers-a-very-nice-thing" TargetMode="External"/><Relationship Id="rId159" Type="http://schemas.openxmlformats.org/officeDocument/2006/relationships/hyperlink" Target="http://cnbc.com/" TargetMode="External"/><Relationship Id="rId170" Type="http://schemas.openxmlformats.org/officeDocument/2006/relationships/hyperlink" Target="https://www.cnbc.com/2021/01/28/toyota-beats-volkswagen-to-become-worlds-nopoint1-car-seller-in-2020.html" TargetMode="External"/><Relationship Id="rId107" Type="http://schemas.openxmlformats.org/officeDocument/2006/relationships/hyperlink" Target="http://breitbart.com/" TargetMode="External"/><Relationship Id="rId11" Type="http://schemas.openxmlformats.org/officeDocument/2006/relationships/hyperlink" Target="http://nytimes.com/" TargetMode="External"/><Relationship Id="rId32" Type="http://schemas.openxmlformats.org/officeDocument/2006/relationships/hyperlink" Target="https://www.foxnews.com/politics/trump-demands-special-prosecutor-investigate-massive-2020-election-fraud-evidence" TargetMode="External"/><Relationship Id="rId53" Type="http://schemas.openxmlformats.org/officeDocument/2006/relationships/hyperlink" Target="http://people.com/" TargetMode="External"/><Relationship Id="rId74" Type="http://schemas.openxmlformats.org/officeDocument/2006/relationships/hyperlink" Target="https://nypost.com/2024/05/13/real-estate/us-home-prices-have-soared-47-since-2020/" TargetMode="External"/><Relationship Id="rId128" Type="http://schemas.openxmlformats.org/officeDocument/2006/relationships/hyperlink" Target="https://www.dailykos.com/stories/2025/3/14/2310155/-This-state-wants-to-brainwash-kids-about-Trump-s-2020-election-lie" TargetMode="External"/><Relationship Id="rId149" Type="http://schemas.openxmlformats.org/officeDocument/2006/relationships/hyperlink" Target="http://finance.yahoo.com/" TargetMode="External"/><Relationship Id="rId5" Type="http://schemas.openxmlformats.org/officeDocument/2006/relationships/hyperlink" Target="http://nytimes.com/" TargetMode="External"/><Relationship Id="rId95" Type="http://schemas.openxmlformats.org/officeDocument/2006/relationships/hyperlink" Target="http://usatoday.com/" TargetMode="External"/><Relationship Id="rId160" Type="http://schemas.openxmlformats.org/officeDocument/2006/relationships/hyperlink" Target="https://www.cnbc.com/2021/03/19/spacs-break-2020-record-in-just-3-months.html" TargetMode="External"/><Relationship Id="rId181" Type="http://schemas.openxmlformats.org/officeDocument/2006/relationships/hyperlink" Target="http://newsweek.com/" TargetMode="External"/><Relationship Id="rId22" Type="http://schemas.openxmlformats.org/officeDocument/2006/relationships/hyperlink" Target="https://www.cnn.com/2020/12/23/us/top-100-digital-stories-2020-trnd" TargetMode="External"/><Relationship Id="rId43" Type="http://schemas.openxmlformats.org/officeDocument/2006/relationships/hyperlink" Target="http://foxnews.com/" TargetMode="External"/><Relationship Id="rId64" Type="http://schemas.openxmlformats.org/officeDocument/2006/relationships/hyperlink" Target="https://people.com/human-interest/merriam-webster-announces-pandemic-is-its-2020-word-of-the-year/?utm=newsbreak" TargetMode="External"/><Relationship Id="rId118" Type="http://schemas.openxmlformats.org/officeDocument/2006/relationships/hyperlink" Target="https://www.breitbart.com/politics/2022/05/01/nina-jankowicz-2020-government-should-not-be-in-business-of-policing-disinformation/" TargetMode="External"/><Relationship Id="rId139" Type="http://schemas.openxmlformats.org/officeDocument/2006/relationships/hyperlink" Target="http://finance.yahoo.com/" TargetMode="External"/><Relationship Id="rId85" Type="http://schemas.openxmlformats.org/officeDocument/2006/relationships/hyperlink" Target="http://nypost.com/" TargetMode="External"/><Relationship Id="rId150" Type="http://schemas.openxmlformats.org/officeDocument/2006/relationships/hyperlink" Target="https://finance.yahoo.com/quote/2020.HK/" TargetMode="External"/><Relationship Id="rId171" Type="http://schemas.openxmlformats.org/officeDocument/2006/relationships/hyperlink" Target="http://cnbc.com/" TargetMode="External"/><Relationship Id="rId12" Type="http://schemas.openxmlformats.org/officeDocument/2006/relationships/hyperlink" Target="https://www.nytimes.com/issue/todayspaper/2020/05/09/todays-new-york-times" TargetMode="External"/><Relationship Id="rId33" Type="http://schemas.openxmlformats.org/officeDocument/2006/relationships/hyperlink" Target="http://foxnews.com/" TargetMode="External"/><Relationship Id="rId108" Type="http://schemas.openxmlformats.org/officeDocument/2006/relationships/hyperlink" Target="https://www.breitbart.com/politics/2020/11/07/gop-lawmakers-double-down-media-do-not-get-to-determine-who-the-president-is/" TargetMode="External"/><Relationship Id="rId129" Type="http://schemas.openxmlformats.org/officeDocument/2006/relationships/hyperlink" Target="http://dailykos.com/" TargetMode="External"/><Relationship Id="rId54" Type="http://schemas.openxmlformats.org/officeDocument/2006/relationships/hyperlink" Target="https://people.com/tv/top-tv-shows-of-2020/" TargetMode="External"/><Relationship Id="rId75" Type="http://schemas.openxmlformats.org/officeDocument/2006/relationships/hyperlink" Target="http://nypost.com/" TargetMode="External"/><Relationship Id="rId96" Type="http://schemas.openxmlformats.org/officeDocument/2006/relationships/hyperlink" Target="https://www.usatoday.com/story/entertainment/movies/2020/12/23/best-movies-2020-watch-now/3863308001/" TargetMode="External"/><Relationship Id="rId140" Type="http://schemas.openxmlformats.org/officeDocument/2006/relationships/hyperlink" Target="https://finance.yahoo.com/news/what-happened-in-the-economy-in-2020-180805482.html" TargetMode="External"/><Relationship Id="rId161" Type="http://schemas.openxmlformats.org/officeDocument/2006/relationships/hyperlink" Target="http://cnbc.com/" TargetMode="External"/><Relationship Id="rId182" Type="http://schemas.openxmlformats.org/officeDocument/2006/relationships/hyperlink" Target="https://www.newsweek.com/it-cant-get-any-worse-2020-heres-2021-political-wish-list-opinion-1557066" TargetMode="External"/><Relationship Id="rId6" Type="http://schemas.openxmlformats.org/officeDocument/2006/relationships/hyperlink" Target="https://www.nytimes.com/interactive/2020/11/03/us/elections/results-president.html" TargetMode="External"/><Relationship Id="rId23" Type="http://schemas.openxmlformats.org/officeDocument/2006/relationships/hyperlink" Target="http://cnn.com/" TargetMode="External"/><Relationship Id="rId119" Type="http://schemas.openxmlformats.org/officeDocument/2006/relationships/hyperlink" Target="http://breitbart.com/" TargetMode="External"/><Relationship Id="rId44" Type="http://schemas.openxmlformats.org/officeDocument/2006/relationships/hyperlink" Target="https://www.foxnews.com/entertainment/netflix-december-2020" TargetMode="External"/><Relationship Id="rId60" Type="http://schemas.openxmlformats.org/officeDocument/2006/relationships/hyperlink" Target="https://people.com/celebrity/people-reveals-2020-people-of-the-year/" TargetMode="External"/><Relationship Id="rId65" Type="http://schemas.openxmlformats.org/officeDocument/2006/relationships/hyperlink" Target="http://people.com/" TargetMode="External"/><Relationship Id="rId81" Type="http://schemas.openxmlformats.org/officeDocument/2006/relationships/hyperlink" Target="http://nypost.com/" TargetMode="External"/><Relationship Id="rId86" Type="http://schemas.openxmlformats.org/officeDocument/2006/relationships/hyperlink" Target="https://nypost.com/2025/07/01/us-news/pfizer-scientist-subpoenaed-over-claims-covid-vax-testing-was-deliberately-slowed-before-2020-election/" TargetMode="External"/><Relationship Id="rId130" Type="http://schemas.openxmlformats.org/officeDocument/2006/relationships/hyperlink" Target="https://www.dailykos.com/stories/2021/3/21/2022085/-2020-s-Top-10-Countries-in-the-Global-EV-Revolution" TargetMode="External"/><Relationship Id="rId135" Type="http://schemas.openxmlformats.org/officeDocument/2006/relationships/hyperlink" Target="http://dailykos.com/" TargetMode="External"/><Relationship Id="rId151" Type="http://schemas.openxmlformats.org/officeDocument/2006/relationships/hyperlink" Target="http://finance.yahoo.com/" TargetMode="External"/><Relationship Id="rId156" Type="http://schemas.openxmlformats.org/officeDocument/2006/relationships/hyperlink" Target="https://finance.yahoo.com/news/2020-review-google-130032427.html" TargetMode="External"/><Relationship Id="rId177" Type="http://schemas.openxmlformats.org/officeDocument/2006/relationships/hyperlink" Target="http://cnbc.com/" TargetMode="External"/><Relationship Id="rId172" Type="http://schemas.openxmlformats.org/officeDocument/2006/relationships/hyperlink" Target="https://www.cnbc.com/2021/01/18/china-economy-release-of-fourth-quarter-full-year-2020-gdp.html" TargetMode="External"/><Relationship Id="rId13" Type="http://schemas.openxmlformats.org/officeDocument/2006/relationships/hyperlink" Target="http://cnn.com/" TargetMode="External"/><Relationship Id="rId18" Type="http://schemas.openxmlformats.org/officeDocument/2006/relationships/hyperlink" Target="https://www.cnn.com/2024/05/15/politics/us-intelligence-china-iran-deepfakes-2020-election" TargetMode="External"/><Relationship Id="rId39" Type="http://schemas.openxmlformats.org/officeDocument/2006/relationships/hyperlink" Target="http://foxnews.com/" TargetMode="External"/><Relationship Id="rId109" Type="http://schemas.openxmlformats.org/officeDocument/2006/relationships/hyperlink" Target="http://breitbart.com/" TargetMode="External"/><Relationship Id="rId34" Type="http://schemas.openxmlformats.org/officeDocument/2006/relationships/hyperlink" Target="https://www.foxnews.com/health/us-deaths-in-2020-top-3-million-by-far-most-ever-counted" TargetMode="External"/><Relationship Id="rId50" Type="http://schemas.openxmlformats.org/officeDocument/2006/relationships/hyperlink" Target="https://people.com/syndication/record-number-2020-movies-directed-by-women-study/" TargetMode="External"/><Relationship Id="rId55" Type="http://schemas.openxmlformats.org/officeDocument/2006/relationships/hyperlink" Target="http://people.com/" TargetMode="External"/><Relationship Id="rId76" Type="http://schemas.openxmlformats.org/officeDocument/2006/relationships/hyperlink" Target="https://nypost.com/2020/09/10/the-hottest-tv-shows-for-fall-2020/" TargetMode="External"/><Relationship Id="rId97" Type="http://schemas.openxmlformats.org/officeDocument/2006/relationships/hyperlink" Target="http://usatoday.com/" TargetMode="External"/><Relationship Id="rId104" Type="http://schemas.openxmlformats.org/officeDocument/2006/relationships/hyperlink" Target="https://www.breitbart.com/2020-election/2020/07/14/red-november-the-unabashed-socialism-of-the-2020-democratic-party-primary/" TargetMode="External"/><Relationship Id="rId120" Type="http://schemas.openxmlformats.org/officeDocument/2006/relationships/hyperlink" Target="https://www.breitbart.com/tag/2020/" TargetMode="External"/><Relationship Id="rId125" Type="http://schemas.openxmlformats.org/officeDocument/2006/relationships/hyperlink" Target="http://dailykos.com/" TargetMode="External"/><Relationship Id="rId141" Type="http://schemas.openxmlformats.org/officeDocument/2006/relationships/hyperlink" Target="http://finance.yahoo.com/" TargetMode="External"/><Relationship Id="rId146" Type="http://schemas.openxmlformats.org/officeDocument/2006/relationships/hyperlink" Target="https://finance.yahoo.com/news/the-most-overlooked-business-story-of-2020-174801942.html" TargetMode="External"/><Relationship Id="rId167" Type="http://schemas.openxmlformats.org/officeDocument/2006/relationships/hyperlink" Target="http://cnbc.com/" TargetMode="External"/><Relationship Id="rId7" Type="http://schemas.openxmlformats.org/officeDocument/2006/relationships/hyperlink" Target="http://nytimes.com/" TargetMode="External"/><Relationship Id="rId71" Type="http://schemas.openxmlformats.org/officeDocument/2006/relationships/hyperlink" Target="http://nypost.com/" TargetMode="External"/><Relationship Id="rId92" Type="http://schemas.openxmlformats.org/officeDocument/2006/relationships/hyperlink" Target="https://www.usatoday.com/story/life/2020/09/11/is-halloween-canceled-2020-parents-and-cities-hope-not-medical-experts-warn-threat-of-coronavirus/5762685002/" TargetMode="External"/><Relationship Id="rId162" Type="http://schemas.openxmlformats.org/officeDocument/2006/relationships/hyperlink" Target="https://www.cnbc.com/2021/01/08/climate-change-2020-one-of-the-hottest-years-on-record-tied-with-2016.html" TargetMode="External"/><Relationship Id="rId2" Type="http://schemas.openxmlformats.org/officeDocument/2006/relationships/hyperlink" Target="https://www.nytimes.com/interactive/2020/12/30/us/2020-year-in-graphics.html" TargetMode="External"/><Relationship Id="rId29" Type="http://schemas.openxmlformats.org/officeDocument/2006/relationships/hyperlink" Target="http://cnn.com/" TargetMode="External"/><Relationship Id="rId24" Type="http://schemas.openxmlformats.org/officeDocument/2006/relationships/hyperlink" Target="https://www.cnn.com/2021/01/03/uk/covid-19-conspiracy-theories-2020-intl-gbr" TargetMode="External"/><Relationship Id="rId40" Type="http://schemas.openxmlformats.org/officeDocument/2006/relationships/hyperlink" Target="https://press.foxnews.com/2020/12/fox-news-media-signs-laura-ingraham-to-new-multi-year-deal" TargetMode="External"/><Relationship Id="rId45" Type="http://schemas.openxmlformats.org/officeDocument/2006/relationships/hyperlink" Target="http://foxnews.com/" TargetMode="External"/><Relationship Id="rId66" Type="http://schemas.openxmlformats.org/officeDocument/2006/relationships/hyperlink" Target="https://people.com/tv/emmys-2020-best-family-moments/" TargetMode="External"/><Relationship Id="rId87" Type="http://schemas.openxmlformats.org/officeDocument/2006/relationships/hyperlink" Target="http://usatoday.com/" TargetMode="External"/><Relationship Id="rId110" Type="http://schemas.openxmlformats.org/officeDocument/2006/relationships/hyperlink" Target="https://www.breitbart.com/2020-election/2020/11/04/live-updates-day-two-2020-election-results/" TargetMode="External"/><Relationship Id="rId115" Type="http://schemas.openxmlformats.org/officeDocument/2006/relationships/hyperlink" Target="http://breitbart.com/" TargetMode="External"/><Relationship Id="rId131" Type="http://schemas.openxmlformats.org/officeDocument/2006/relationships/hyperlink" Target="http://dailykos.com/" TargetMode="External"/><Relationship Id="rId136" Type="http://schemas.openxmlformats.org/officeDocument/2006/relationships/hyperlink" Target="https://www.dailykos.com/stories/2020/1/8/1910007/-Check-out-our-demographics-guide-for-every-2020-general-election-candidate-for-Congress-and-governor" TargetMode="External"/><Relationship Id="rId157" Type="http://schemas.openxmlformats.org/officeDocument/2006/relationships/hyperlink" Target="http://finance.yahoo.com/" TargetMode="External"/><Relationship Id="rId178" Type="http://schemas.openxmlformats.org/officeDocument/2006/relationships/hyperlink" Target="https://www.cnbc.com/2021/03/31/covid-was-third-leading-cause-of-death-in-us-in-2020-behind-heart-disease-and-cancer-cdc-says.html" TargetMode="External"/><Relationship Id="rId61" Type="http://schemas.openxmlformats.org/officeDocument/2006/relationships/hyperlink" Target="http://people.com/" TargetMode="External"/><Relationship Id="rId82" Type="http://schemas.openxmlformats.org/officeDocument/2006/relationships/hyperlink" Target="https://nypost.com/ss-post/the-16-most-anticipated-original-films-coming-to-streaming-in-2020/" TargetMode="External"/><Relationship Id="rId152" Type="http://schemas.openxmlformats.org/officeDocument/2006/relationships/hyperlink" Target="https://finance.yahoo.com/quote/2020.OL/" TargetMode="External"/><Relationship Id="rId173" Type="http://schemas.openxmlformats.org/officeDocument/2006/relationships/hyperlink" Target="http://cnbc.com/" TargetMode="External"/><Relationship Id="rId19" Type="http://schemas.openxmlformats.org/officeDocument/2006/relationships/hyperlink" Target="http://cnn.com/" TargetMode="External"/><Relationship Id="rId14" Type="http://schemas.openxmlformats.org/officeDocument/2006/relationships/hyperlink" Target="https://www.cnn.com/interactive/2020/12/us/america-racism-2020/" TargetMode="External"/><Relationship Id="rId30" Type="http://schemas.openxmlformats.org/officeDocument/2006/relationships/hyperlink" Target="https://www.cnn.com/2020/12/10/us/2020-in-review-fast-facts" TargetMode="External"/><Relationship Id="rId35" Type="http://schemas.openxmlformats.org/officeDocument/2006/relationships/hyperlink" Target="http://foxnews.com/" TargetMode="External"/><Relationship Id="rId56" Type="http://schemas.openxmlformats.org/officeDocument/2006/relationships/hyperlink" Target="https://people.com/health/5-ways-the-world-changed-on-march-11-2020-covid-19-pandemic/" TargetMode="External"/><Relationship Id="rId77" Type="http://schemas.openxmlformats.org/officeDocument/2006/relationships/hyperlink" Target="http://nypost.com/" TargetMode="External"/><Relationship Id="rId100" Type="http://schemas.openxmlformats.org/officeDocument/2006/relationships/hyperlink" Target="https://www.usatoday.com/story/news/politics/elections/2024/11/05/how-long-did-the-2020-election-last/76081315007/" TargetMode="External"/><Relationship Id="rId105" Type="http://schemas.openxmlformats.org/officeDocument/2006/relationships/hyperlink" Target="http://breitbart.com/" TargetMode="External"/><Relationship Id="rId126" Type="http://schemas.openxmlformats.org/officeDocument/2006/relationships/hyperlink" Target="https://www.dailykos.com/stories/2021/2/22/2017070/-Morning-Digest-We-ve-finished-calculating-the-2020-presidential-results-for-every-House-district" TargetMode="External"/><Relationship Id="rId147" Type="http://schemas.openxmlformats.org/officeDocument/2006/relationships/hyperlink" Target="http://finance.yahoo.com/" TargetMode="External"/><Relationship Id="rId168" Type="http://schemas.openxmlformats.org/officeDocument/2006/relationships/hyperlink" Target="https://www.cnbc.com/2020/06/16/meet-the-2020-cnbc-disruptor-50-companies.html" TargetMode="External"/><Relationship Id="rId8" Type="http://schemas.openxmlformats.org/officeDocument/2006/relationships/hyperlink" Target="https://www.nytimes.com/interactive/2020/11/03/us/elections/results-florida.html" TargetMode="External"/><Relationship Id="rId51" Type="http://schemas.openxmlformats.org/officeDocument/2006/relationships/hyperlink" Target="http://people.com/" TargetMode="External"/><Relationship Id="rId72" Type="http://schemas.openxmlformats.org/officeDocument/2006/relationships/hyperlink" Target="https://nypost.com/article/best-movies-of-2020/" TargetMode="External"/><Relationship Id="rId93" Type="http://schemas.openxmlformats.org/officeDocument/2006/relationships/hyperlink" Target="http://usatoday.com/" TargetMode="External"/><Relationship Id="rId98" Type="http://schemas.openxmlformats.org/officeDocument/2006/relationships/hyperlink" Target="https://www.usatoday.com/story/news/nation/2025/03/11/covid-march-11-2020-news-events/82227555007/" TargetMode="External"/><Relationship Id="rId121" Type="http://schemas.openxmlformats.org/officeDocument/2006/relationships/hyperlink" Target="http://breitbart.com/" TargetMode="External"/><Relationship Id="rId142" Type="http://schemas.openxmlformats.org/officeDocument/2006/relationships/hyperlink" Target="https://finance.yahoo.com/video/amazon-prime-day-2020-preview-160620149.html" TargetMode="External"/><Relationship Id="rId163" Type="http://schemas.openxmlformats.org/officeDocument/2006/relationships/hyperlink" Target="http://cnbc.com/" TargetMode="External"/><Relationship Id="rId3" Type="http://schemas.openxmlformats.org/officeDocument/2006/relationships/hyperlink" Target="http://nytimes.com/" TargetMode="External"/><Relationship Id="rId25" Type="http://schemas.openxmlformats.org/officeDocument/2006/relationships/hyperlink" Target="http://cnn.com/" TargetMode="External"/><Relationship Id="rId46" Type="http://schemas.openxmlformats.org/officeDocument/2006/relationships/hyperlink" Target="https://www.foxnews.com/elections/2020/general-results/voter-analysis" TargetMode="External"/><Relationship Id="rId67" Type="http://schemas.openxmlformats.org/officeDocument/2006/relationships/hyperlink" Target="http://people.com/" TargetMode="External"/><Relationship Id="rId116" Type="http://schemas.openxmlformats.org/officeDocument/2006/relationships/hyperlink" Target="https://www.breitbart.com/politics/2022/01/30/nyt-democrats-dark-money-outspent-republicans-by-66-in-2020-election/" TargetMode="External"/><Relationship Id="rId137" Type="http://schemas.openxmlformats.org/officeDocument/2006/relationships/hyperlink" Target="http://dailykos.com/" TargetMode="External"/><Relationship Id="rId158" Type="http://schemas.openxmlformats.org/officeDocument/2006/relationships/hyperlink" Target="https://finance.yahoo.com/news/did-2020-print-magazines-120042248.html" TargetMode="External"/><Relationship Id="rId20" Type="http://schemas.openxmlformats.org/officeDocument/2006/relationships/hyperlink" Target="https://www.cnn.com/2020/12/30/us/2021-murder-hornets-cicadas-scary-bugs-trnd/index.html" TargetMode="External"/><Relationship Id="rId41" Type="http://schemas.openxmlformats.org/officeDocument/2006/relationships/hyperlink" Target="http://foxnews.com/" TargetMode="External"/><Relationship Id="rId62" Type="http://schemas.openxmlformats.org/officeDocument/2006/relationships/hyperlink" Target="https://people.com/celebrity/celebrity-splits-of-2020/" TargetMode="External"/><Relationship Id="rId83" Type="http://schemas.openxmlformats.org/officeDocument/2006/relationships/hyperlink" Target="http://nypost.com/" TargetMode="External"/><Relationship Id="rId88" Type="http://schemas.openxmlformats.org/officeDocument/2006/relationships/hyperlink" Target="https://www.usatoday.com/story/news/nation/2019/12/22/2020-predictions-decades-ago-self-driving-cars-mars-voting/2594825001/" TargetMode="External"/><Relationship Id="rId111" Type="http://schemas.openxmlformats.org/officeDocument/2006/relationships/hyperlink" Target="http://breitbart.com/" TargetMode="External"/><Relationship Id="rId132" Type="http://schemas.openxmlformats.org/officeDocument/2006/relationships/hyperlink" Target="https://www.dailykos.com/stories/2020/1/14/1855760/-Daily-Kos-Elections-2020-primary-calendar" TargetMode="External"/><Relationship Id="rId153" Type="http://schemas.openxmlformats.org/officeDocument/2006/relationships/hyperlink" Target="http://finance.yahoo.com/" TargetMode="External"/><Relationship Id="rId174" Type="http://schemas.openxmlformats.org/officeDocument/2006/relationships/hyperlink" Target="https://www.cnbc.com/2021/01/01/the-covid-recession-brought-extreme-inequality-in-2020.html" TargetMode="External"/><Relationship Id="rId179" Type="http://schemas.openxmlformats.org/officeDocument/2006/relationships/hyperlink" Target="http://newsweek.com/" TargetMode="External"/><Relationship Id="rId15" Type="http://schemas.openxmlformats.org/officeDocument/2006/relationships/hyperlink" Target="http://cnn.com/" TargetMode="External"/><Relationship Id="rId36" Type="http://schemas.openxmlformats.org/officeDocument/2006/relationships/hyperlink" Target="https://www.foxnews.com/science/2020-top-space-stories" TargetMode="External"/><Relationship Id="rId57" Type="http://schemas.openxmlformats.org/officeDocument/2006/relationships/hyperlink" Target="http://people.com/" TargetMode="External"/><Relationship Id="rId106" Type="http://schemas.openxmlformats.org/officeDocument/2006/relationships/hyperlink" Target="https://www.breitbart.com/clips/2021/01/04/jonathan-turley-why-on-earth-would-someone-oppose-reviewing-the-2020-election/" TargetMode="External"/><Relationship Id="rId127" Type="http://schemas.openxmlformats.org/officeDocument/2006/relationships/hyperlink" Target="http://dailykos.com/" TargetMode="External"/><Relationship Id="rId10" Type="http://schemas.openxmlformats.org/officeDocument/2006/relationships/hyperlink" Target="https://www.nytimes.com/interactive/2019/us/elections/2020-presidential-election-calendar.html" TargetMode="External"/><Relationship Id="rId31" Type="http://schemas.openxmlformats.org/officeDocument/2006/relationships/hyperlink" Target="http://foxnews.com/" TargetMode="External"/><Relationship Id="rId52" Type="http://schemas.openxmlformats.org/officeDocument/2006/relationships/hyperlink" Target="https://people.com/music/billboard-music-awards-2020-winners-list/" TargetMode="External"/><Relationship Id="rId73" Type="http://schemas.openxmlformats.org/officeDocument/2006/relationships/hyperlink" Target="http://nypost.com/" TargetMode="External"/><Relationship Id="rId78" Type="http://schemas.openxmlformats.org/officeDocument/2006/relationships/hyperlink" Target="https://nypost.com/2020/12/01/" TargetMode="External"/><Relationship Id="rId94" Type="http://schemas.openxmlformats.org/officeDocument/2006/relationships/hyperlink" Target="https://www.usatoday.com/story/life/2020/07/29/100-good-things-from-2020-positive-stories-news/3257222001/" TargetMode="External"/><Relationship Id="rId99" Type="http://schemas.openxmlformats.org/officeDocument/2006/relationships/hyperlink" Target="http://usatoday.com/" TargetMode="External"/><Relationship Id="rId101" Type="http://schemas.openxmlformats.org/officeDocument/2006/relationships/hyperlink" Target="http://usatoday.com/" TargetMode="External"/><Relationship Id="rId122" Type="http://schemas.openxmlformats.org/officeDocument/2006/relationships/hyperlink" Target="https://www.breitbart.com/politics/2019/10/29/poll-7-in-10-voters-believe-in-america-first-agenda-ahead-of-2020-election/" TargetMode="External"/><Relationship Id="rId143" Type="http://schemas.openxmlformats.org/officeDocument/2006/relationships/hyperlink" Target="http://finance.yahoo.com/" TargetMode="External"/><Relationship Id="rId148" Type="http://schemas.openxmlformats.org/officeDocument/2006/relationships/hyperlink" Target="https://finance.yahoo.com/news/stocks-havent-fallen-this-much-since-2020-their-recovery-could-look-different-this-time-212645541.html" TargetMode="External"/><Relationship Id="rId164" Type="http://schemas.openxmlformats.org/officeDocument/2006/relationships/hyperlink" Target="https://www.cnbc.com/2020/10/06/us-trade-deficit-august-2020.html" TargetMode="External"/><Relationship Id="rId169" Type="http://schemas.openxmlformats.org/officeDocument/2006/relationships/hyperlink" Target="http://cnbc.com/" TargetMode="External"/><Relationship Id="rId4" Type="http://schemas.openxmlformats.org/officeDocument/2006/relationships/hyperlink" Target="https://www.nytimes.com/interactive/2020/12/13/sports/coronavirus-sports-economy-wisconsin.html" TargetMode="External"/><Relationship Id="rId9" Type="http://schemas.openxmlformats.org/officeDocument/2006/relationships/hyperlink" Target="http://nytimes.com/" TargetMode="External"/><Relationship Id="rId180" Type="http://schemas.openxmlformats.org/officeDocument/2006/relationships/hyperlink" Target="https://www.newsweek.com/50-biggest-stories-about-environment-2020-1557575" TargetMode="External"/><Relationship Id="rId26" Type="http://schemas.openxmlformats.org/officeDocument/2006/relationships/hyperlink" Target="https://www.cnn.com/2021/05/16/success/2020-taxes-deadline-information-feseries" TargetMode="External"/><Relationship Id="rId47" Type="http://schemas.openxmlformats.org/officeDocument/2006/relationships/hyperlink" Target="http://foxnews.com/" TargetMode="External"/><Relationship Id="rId68" Type="http://schemas.openxmlformats.org/officeDocument/2006/relationships/hyperlink" Target="https://people.com/celebrity/top-20-stories-of-2020-people/" TargetMode="External"/><Relationship Id="rId89" Type="http://schemas.openxmlformats.org/officeDocument/2006/relationships/hyperlink" Target="http://usatoday.com/" TargetMode="External"/><Relationship Id="rId112" Type="http://schemas.openxmlformats.org/officeDocument/2006/relationships/hyperlink" Target="https://www.breitbart.com/clips/2021/05/21/scarborough-if-you-dont-accept-2020-results-just-get-the-hell-out-of-the-country/" TargetMode="External"/><Relationship Id="rId133" Type="http://schemas.openxmlformats.org/officeDocument/2006/relationships/hyperlink" Target="http://dailykos.com/" TargetMode="External"/><Relationship Id="rId154" Type="http://schemas.openxmlformats.org/officeDocument/2006/relationships/hyperlink" Target="https://finance.yahoo.com/quote/2020.SR/" TargetMode="External"/><Relationship Id="rId175" Type="http://schemas.openxmlformats.org/officeDocument/2006/relationships/hyperlink" Target="http://cnbc.com/" TargetMode="External"/><Relationship Id="rId16" Type="http://schemas.openxmlformats.org/officeDocument/2006/relationships/hyperlink" Target="https://www.cnn.com/interactive/2020/07/world/2020-year-in-review-july/" TargetMode="External"/><Relationship Id="rId37" Type="http://schemas.openxmlformats.org/officeDocument/2006/relationships/hyperlink" Target="http://foxnews.com/" TargetMode="External"/><Relationship Id="rId58" Type="http://schemas.openxmlformats.org/officeDocument/2006/relationships/hyperlink" Target="https://people.com/tv/everything-coming-netflix-april-2020/" TargetMode="External"/><Relationship Id="rId79" Type="http://schemas.openxmlformats.org/officeDocument/2006/relationships/hyperlink" Target="http://nypost.com/" TargetMode="External"/><Relationship Id="rId102" Type="http://schemas.openxmlformats.org/officeDocument/2006/relationships/hyperlink" Target="https://www.usatoday.com/story/life/2020/04/14/2020-canceled-coronavirus-makes-year-things-didnt-happen/2992020001/" TargetMode="External"/><Relationship Id="rId123" Type="http://schemas.openxmlformats.org/officeDocument/2006/relationships/hyperlink" Target="http://dailykos.com/" TargetMode="External"/><Relationship Id="rId144" Type="http://schemas.openxmlformats.org/officeDocument/2006/relationships/hyperlink" Target="https://finance.yahoo.com/news/tech-winners-2020-160023810.html" TargetMode="External"/><Relationship Id="rId90" Type="http://schemas.openxmlformats.org/officeDocument/2006/relationships/hyperlink" Target="https://ftw.usatoday.com/story/opinion/columns/2020/12/29/remembering-2020-covid-heartbreak-defined-year-but-2021-brings-hope/4053997001/" TargetMode="External"/><Relationship Id="rId165" Type="http://schemas.openxmlformats.org/officeDocument/2006/relationships/hyperlink" Target="http://cnbc.com/" TargetMode="External"/><Relationship Id="rId27" Type="http://schemas.openxmlformats.org/officeDocument/2006/relationships/hyperlink" Target="http://cnn.com/" TargetMode="External"/><Relationship Id="rId48" Type="http://schemas.openxmlformats.org/officeDocument/2006/relationships/hyperlink" Target="https://www.foxnews.com/us/america-locked-down-2020s-most-controversial-covid-era-restrictions" TargetMode="External"/><Relationship Id="rId69" Type="http://schemas.openxmlformats.org/officeDocument/2006/relationships/hyperlink" Target="http://nypost.com/" TargetMode="External"/><Relationship Id="rId113" Type="http://schemas.openxmlformats.org/officeDocument/2006/relationships/hyperlink" Target="http://breitbart.com/" TargetMode="External"/><Relationship Id="rId134" Type="http://schemas.openxmlformats.org/officeDocument/2006/relationships/hyperlink" Target="https://www.dailykos.com/stories/2022/9/7/2121191/-Daily-Kos-Elections-announces-publication-of-2020-presidential-results-for-new-House-districts" TargetMode="External"/><Relationship Id="rId80" Type="http://schemas.openxmlformats.org/officeDocument/2006/relationships/hyperlink" Target="https://nypost.com/2019/04/24/joe-biden-to-join-packed-2020-democratic-field-as-favorite/" TargetMode="External"/><Relationship Id="rId155" Type="http://schemas.openxmlformats.org/officeDocument/2006/relationships/hyperlink" Target="http://finance.yahoo.com/" TargetMode="External"/><Relationship Id="rId176" Type="http://schemas.openxmlformats.org/officeDocument/2006/relationships/hyperlink" Target="https://www.cnbc.com/2021/02/02/amazon-amzn-earnings-q4-2020.html" TargetMode="External"/><Relationship Id="rId17" Type="http://schemas.openxmlformats.org/officeDocument/2006/relationships/hyperlink" Target="http://cnn.com/" TargetMode="External"/><Relationship Id="rId38" Type="http://schemas.openxmlformats.org/officeDocument/2006/relationships/hyperlink" Target="https://www.foxnews.com/us/2020-bible-year-christian" TargetMode="External"/><Relationship Id="rId59" Type="http://schemas.openxmlformats.org/officeDocument/2006/relationships/hyperlink" Target="http://people.com/" TargetMode="External"/><Relationship Id="rId103" Type="http://schemas.openxmlformats.org/officeDocument/2006/relationships/hyperlink" Target="http://breitbart.com/" TargetMode="External"/><Relationship Id="rId124" Type="http://schemas.openxmlformats.org/officeDocument/2006/relationships/hyperlink" Target="https://www.dailykos.com/stories/2024/11/6/2283328/-Trump-received-less-votes-than-2020-and-he-still-won" TargetMode="External"/><Relationship Id="rId70" Type="http://schemas.openxmlformats.org/officeDocument/2006/relationships/hyperlink" Target="https://nypost.com/2025/07/02/us-news/trump-believes-2020-election-loss-was-providential-so-his-second-term-fell-on-americas-250th-birthday/" TargetMode="External"/><Relationship Id="rId91" Type="http://schemas.openxmlformats.org/officeDocument/2006/relationships/hyperlink" Target="http://usatoday.com/" TargetMode="External"/><Relationship Id="rId145" Type="http://schemas.openxmlformats.org/officeDocument/2006/relationships/hyperlink" Target="http://finance.yahoo.com/" TargetMode="External"/><Relationship Id="rId166" Type="http://schemas.openxmlformats.org/officeDocument/2006/relationships/hyperlink" Target="https://www.cnbc.com/2025/01/14/us-justice-department-releases-report-on-trump-attempt-to-overturn-2020-election.html" TargetMode="External"/><Relationship Id="rId1" Type="http://schemas.openxmlformats.org/officeDocument/2006/relationships/hyperlink" Target="http://nytimes.com/" TargetMode="External"/><Relationship Id="rId28" Type="http://schemas.openxmlformats.org/officeDocument/2006/relationships/hyperlink" Target="https://www.cnn.com/2020/12/18/us/police-reform-year-of-reckoning-blm-invs" TargetMode="External"/><Relationship Id="rId49" Type="http://schemas.openxmlformats.org/officeDocument/2006/relationships/hyperlink" Target="http://people.com/" TargetMode="External"/><Relationship Id="rId114" Type="http://schemas.openxmlformats.org/officeDocument/2006/relationships/hyperlink" Target="https://www.breitbart.com/tech/2020/09/04/partys-over-trump-orders-purge-of-critical-race-theory-from-federal-agenc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59"/>
  <sheetViews>
    <sheetView tabSelected="1" topLeftCell="B92" workbookViewId="0">
      <selection activeCell="D84" sqref="D84"/>
    </sheetView>
  </sheetViews>
  <sheetFormatPr defaultColWidth="12.5546875" defaultRowHeight="15.75" customHeight="1"/>
  <cols>
    <col min="2" max="2" width="36.44140625" customWidth="1"/>
    <col min="4" max="4" width="55.6640625" customWidth="1"/>
  </cols>
  <sheetData>
    <row r="1" spans="1:6" ht="15.75" customHeight="1">
      <c r="A1" s="1" t="s">
        <v>0</v>
      </c>
      <c r="B1" s="1" t="s">
        <v>1</v>
      </c>
      <c r="C1" s="1" t="s">
        <v>2</v>
      </c>
      <c r="D1" s="2" t="s">
        <v>3</v>
      </c>
      <c r="E1" s="1" t="s">
        <v>4</v>
      </c>
      <c r="F1" s="1" t="s">
        <v>5</v>
      </c>
    </row>
    <row r="2" spans="1:6" ht="15.75" customHeight="1">
      <c r="A2" s="3" t="s">
        <v>6</v>
      </c>
      <c r="B2" s="1" t="s">
        <v>7</v>
      </c>
      <c r="C2" s="1" t="s">
        <v>8</v>
      </c>
      <c r="D2" s="2" t="s">
        <v>9</v>
      </c>
      <c r="E2" s="4">
        <v>42</v>
      </c>
      <c r="F2" s="3" t="s">
        <v>10</v>
      </c>
    </row>
    <row r="3" spans="1:6" ht="15.75" customHeight="1">
      <c r="A3" s="3" t="s">
        <v>6</v>
      </c>
      <c r="B3" s="1" t="s">
        <v>11</v>
      </c>
      <c r="C3" s="1" t="s">
        <v>12</v>
      </c>
      <c r="D3" s="2" t="s">
        <v>13</v>
      </c>
      <c r="E3" s="4">
        <v>3306</v>
      </c>
      <c r="F3" s="3" t="s">
        <v>14</v>
      </c>
    </row>
    <row r="4" spans="1:6" ht="15.75" customHeight="1">
      <c r="A4" s="3" t="s">
        <v>6</v>
      </c>
      <c r="B4" s="1" t="s">
        <v>15</v>
      </c>
      <c r="C4" s="1" t="s">
        <v>16</v>
      </c>
      <c r="D4" s="2" t="s">
        <v>17</v>
      </c>
      <c r="E4" s="4">
        <v>538</v>
      </c>
      <c r="F4" s="5" t="s">
        <v>18</v>
      </c>
    </row>
    <row r="5" spans="1:6" ht="15.75" customHeight="1">
      <c r="A5" s="3" t="s">
        <v>6</v>
      </c>
      <c r="B5" s="1" t="s">
        <v>19</v>
      </c>
      <c r="C5" s="1" t="s">
        <v>20</v>
      </c>
      <c r="D5" s="2" t="s">
        <v>21</v>
      </c>
      <c r="E5" s="4">
        <v>684</v>
      </c>
      <c r="F5" s="3" t="s">
        <v>22</v>
      </c>
    </row>
    <row r="6" spans="1:6" ht="15.75" customHeight="1">
      <c r="A6" s="3" t="s">
        <v>6</v>
      </c>
      <c r="B6" s="1" t="s">
        <v>23</v>
      </c>
      <c r="C6" s="1" t="s">
        <v>24</v>
      </c>
      <c r="D6" s="2" t="s">
        <v>25</v>
      </c>
      <c r="E6" s="4">
        <v>182</v>
      </c>
      <c r="F6" s="3" t="s">
        <v>26</v>
      </c>
    </row>
    <row r="7" spans="1:6" ht="15.75" customHeight="1">
      <c r="A7" s="3" t="s">
        <v>6</v>
      </c>
      <c r="B7" s="16" t="s">
        <v>27</v>
      </c>
      <c r="C7" s="17"/>
      <c r="D7" s="2" t="s">
        <v>28</v>
      </c>
      <c r="E7" s="4">
        <v>158</v>
      </c>
      <c r="F7" s="3" t="s">
        <v>29</v>
      </c>
    </row>
    <row r="8" spans="1:6" ht="15.75" customHeight="1">
      <c r="A8" s="3" t="s">
        <v>30</v>
      </c>
      <c r="B8" s="16" t="s">
        <v>31</v>
      </c>
      <c r="C8" s="17"/>
      <c r="D8" s="2" t="s">
        <v>32</v>
      </c>
      <c r="E8" s="4">
        <v>2166</v>
      </c>
      <c r="F8" s="3" t="s">
        <v>33</v>
      </c>
    </row>
    <row r="9" spans="1:6" ht="15.75" customHeight="1">
      <c r="A9" s="3" t="s">
        <v>30</v>
      </c>
      <c r="B9" s="16" t="s">
        <v>34</v>
      </c>
      <c r="C9" s="17"/>
      <c r="D9" s="2" t="s">
        <v>35</v>
      </c>
      <c r="E9" s="4">
        <v>1071</v>
      </c>
      <c r="F9" s="3" t="s">
        <v>36</v>
      </c>
    </row>
    <row r="10" spans="1:6" ht="15.75" customHeight="1">
      <c r="A10" s="3" t="s">
        <v>30</v>
      </c>
      <c r="B10" s="1" t="s">
        <v>37</v>
      </c>
      <c r="C10" s="1" t="s">
        <v>38</v>
      </c>
      <c r="D10" s="2" t="s">
        <v>39</v>
      </c>
      <c r="E10" s="4">
        <v>1109</v>
      </c>
      <c r="F10" s="3" t="s">
        <v>40</v>
      </c>
    </row>
    <row r="11" spans="1:6" ht="15.75" customHeight="1">
      <c r="A11" s="3" t="s">
        <v>30</v>
      </c>
      <c r="B11" s="1" t="s">
        <v>41</v>
      </c>
      <c r="C11" s="1" t="s">
        <v>42</v>
      </c>
      <c r="D11" s="2" t="s">
        <v>43</v>
      </c>
      <c r="E11" s="4">
        <v>1021</v>
      </c>
      <c r="F11" s="3" t="s">
        <v>44</v>
      </c>
    </row>
    <row r="12" spans="1:6" ht="15.75" customHeight="1">
      <c r="A12" s="3" t="s">
        <v>30</v>
      </c>
      <c r="B12" s="1" t="s">
        <v>45</v>
      </c>
      <c r="C12" s="1" t="s">
        <v>46</v>
      </c>
      <c r="D12" s="2" t="s">
        <v>47</v>
      </c>
      <c r="E12" s="4">
        <v>1313</v>
      </c>
      <c r="F12" s="3" t="s">
        <v>48</v>
      </c>
    </row>
    <row r="13" spans="1:6" ht="15.75" customHeight="1">
      <c r="A13" s="3" t="s">
        <v>30</v>
      </c>
      <c r="B13" s="1" t="s">
        <v>49</v>
      </c>
      <c r="C13" s="1" t="s">
        <v>50</v>
      </c>
      <c r="D13" s="2" t="s">
        <v>51</v>
      </c>
      <c r="E13" s="4">
        <v>2460</v>
      </c>
      <c r="F13" s="3" t="s">
        <v>52</v>
      </c>
    </row>
    <row r="14" spans="1:6" ht="15.75" customHeight="1">
      <c r="A14" s="3" t="s">
        <v>30</v>
      </c>
      <c r="B14" s="1" t="s">
        <v>53</v>
      </c>
      <c r="C14" s="1" t="s">
        <v>54</v>
      </c>
      <c r="D14" s="2" t="s">
        <v>55</v>
      </c>
      <c r="E14" s="4">
        <v>1694</v>
      </c>
      <c r="F14" s="3" t="s">
        <v>56</v>
      </c>
    </row>
    <row r="15" spans="1:6" ht="15.75" customHeight="1">
      <c r="A15" s="3" t="s">
        <v>30</v>
      </c>
      <c r="B15" s="1" t="s">
        <v>57</v>
      </c>
      <c r="C15" s="1" t="s">
        <v>58</v>
      </c>
      <c r="D15" s="2" t="s">
        <v>59</v>
      </c>
      <c r="E15" s="4">
        <v>4204</v>
      </c>
      <c r="F15" s="3" t="s">
        <v>60</v>
      </c>
    </row>
    <row r="16" spans="1:6" ht="15.75" customHeight="1">
      <c r="A16" s="3" t="s">
        <v>30</v>
      </c>
      <c r="B16" s="1" t="s">
        <v>61</v>
      </c>
      <c r="C16" s="1" t="s">
        <v>62</v>
      </c>
      <c r="D16" s="2" t="s">
        <v>63</v>
      </c>
      <c r="E16" s="4">
        <v>8016</v>
      </c>
      <c r="F16" s="3" t="s">
        <v>64</v>
      </c>
    </row>
    <row r="17" spans="1:6" ht="15.75" customHeight="1">
      <c r="A17" s="3" t="s">
        <v>65</v>
      </c>
      <c r="B17" s="16" t="s">
        <v>66</v>
      </c>
      <c r="C17" s="17"/>
      <c r="D17" s="2" t="s">
        <v>67</v>
      </c>
      <c r="E17" s="4">
        <v>842</v>
      </c>
      <c r="F17" s="3" t="s">
        <v>68</v>
      </c>
    </row>
    <row r="18" spans="1:6" ht="15.75" customHeight="1">
      <c r="A18" s="3" t="s">
        <v>65</v>
      </c>
      <c r="B18" s="16" t="s">
        <v>69</v>
      </c>
      <c r="C18" s="17"/>
      <c r="D18" s="2" t="s">
        <v>70</v>
      </c>
      <c r="E18" s="4">
        <v>928</v>
      </c>
      <c r="F18" s="3" t="s">
        <v>71</v>
      </c>
    </row>
    <row r="19" spans="1:6" ht="15.75" customHeight="1">
      <c r="A19" s="3" t="s">
        <v>65</v>
      </c>
      <c r="B19" s="16" t="s">
        <v>72</v>
      </c>
      <c r="C19" s="17"/>
      <c r="D19" s="2" t="s">
        <v>73</v>
      </c>
      <c r="E19" s="4">
        <v>1022</v>
      </c>
      <c r="F19" s="3" t="s">
        <v>74</v>
      </c>
    </row>
    <row r="20" spans="1:6" ht="15.75" customHeight="1">
      <c r="A20" s="3" t="s">
        <v>65</v>
      </c>
      <c r="B20" s="16" t="s">
        <v>75</v>
      </c>
      <c r="C20" s="17"/>
      <c r="D20" s="2" t="s">
        <v>76</v>
      </c>
      <c r="E20" s="4">
        <v>1168</v>
      </c>
      <c r="F20" s="3" t="s">
        <v>77</v>
      </c>
    </row>
    <row r="21" spans="1:6" ht="15.75" customHeight="1">
      <c r="A21" s="3" t="s">
        <v>65</v>
      </c>
      <c r="B21" s="1" t="s">
        <v>78</v>
      </c>
      <c r="C21" s="6"/>
      <c r="D21" s="19" t="s">
        <v>295</v>
      </c>
      <c r="E21" s="4">
        <v>48</v>
      </c>
      <c r="F21" s="15" t="s">
        <v>292</v>
      </c>
    </row>
    <row r="22" spans="1:6" ht="15.75" customHeight="1">
      <c r="A22" s="3" t="s">
        <v>65</v>
      </c>
      <c r="B22" s="16" t="s">
        <v>79</v>
      </c>
      <c r="C22" s="17"/>
      <c r="D22" s="19" t="s">
        <v>80</v>
      </c>
      <c r="E22" s="4">
        <v>207</v>
      </c>
      <c r="F22" s="3" t="s">
        <v>81</v>
      </c>
    </row>
    <row r="23" spans="1:6" ht="15.75" customHeight="1">
      <c r="A23" s="3" t="s">
        <v>65</v>
      </c>
      <c r="B23" s="16" t="s">
        <v>82</v>
      </c>
      <c r="C23" s="17"/>
      <c r="D23" s="2" t="s">
        <v>83</v>
      </c>
      <c r="E23" s="4">
        <v>1052</v>
      </c>
      <c r="F23" s="3" t="s">
        <v>84</v>
      </c>
    </row>
    <row r="24" spans="1:6" ht="15.75" customHeight="1">
      <c r="A24" s="3" t="s">
        <v>65</v>
      </c>
      <c r="B24" s="16" t="s">
        <v>85</v>
      </c>
      <c r="C24" s="17"/>
      <c r="D24" s="2" t="s">
        <v>86</v>
      </c>
      <c r="E24" s="4">
        <v>316</v>
      </c>
      <c r="F24" s="3" t="s">
        <v>87</v>
      </c>
    </row>
    <row r="25" spans="1:6" ht="15.75" customHeight="1">
      <c r="A25" s="3" t="s">
        <v>65</v>
      </c>
      <c r="B25" s="16" t="s">
        <v>88</v>
      </c>
      <c r="C25" s="17"/>
      <c r="D25" s="2" t="s">
        <v>89</v>
      </c>
      <c r="E25" s="4">
        <v>944</v>
      </c>
      <c r="F25" s="3" t="s">
        <v>90</v>
      </c>
    </row>
    <row r="26" spans="1:6" ht="15.75" customHeight="1">
      <c r="A26" s="3" t="s">
        <v>91</v>
      </c>
      <c r="B26" s="16" t="s">
        <v>92</v>
      </c>
      <c r="C26" s="17"/>
      <c r="D26" s="2" t="s">
        <v>93</v>
      </c>
      <c r="E26" s="4">
        <v>343</v>
      </c>
      <c r="F26" s="3" t="s">
        <v>94</v>
      </c>
    </row>
    <row r="27" spans="1:6" ht="15.75" customHeight="1">
      <c r="A27" s="3" t="s">
        <v>91</v>
      </c>
      <c r="B27" s="16" t="s">
        <v>95</v>
      </c>
      <c r="C27" s="17"/>
      <c r="D27" s="2" t="s">
        <v>96</v>
      </c>
      <c r="E27" s="4">
        <v>422</v>
      </c>
      <c r="F27" s="3" t="s">
        <v>97</v>
      </c>
    </row>
    <row r="28" spans="1:6" ht="15.75" customHeight="1">
      <c r="A28" s="3" t="s">
        <v>91</v>
      </c>
      <c r="B28" s="16" t="s">
        <v>98</v>
      </c>
      <c r="C28" s="17"/>
      <c r="D28" s="2" t="s">
        <v>99</v>
      </c>
      <c r="E28" s="4">
        <v>855</v>
      </c>
      <c r="F28" s="3" t="s">
        <v>100</v>
      </c>
    </row>
    <row r="29" spans="1:6" ht="15.75" customHeight="1">
      <c r="A29" s="3" t="s">
        <v>91</v>
      </c>
      <c r="B29" s="16" t="s">
        <v>101</v>
      </c>
      <c r="C29" s="17"/>
      <c r="D29" s="2" t="s">
        <v>102</v>
      </c>
      <c r="E29" s="4">
        <v>498</v>
      </c>
      <c r="F29" s="3" t="s">
        <v>103</v>
      </c>
    </row>
    <row r="30" spans="1:6" ht="15.75" customHeight="1">
      <c r="A30" s="3" t="s">
        <v>91</v>
      </c>
      <c r="B30" s="16" t="s">
        <v>104</v>
      </c>
      <c r="C30" s="17"/>
      <c r="D30" s="2" t="s">
        <v>105</v>
      </c>
      <c r="E30" s="4">
        <v>209</v>
      </c>
      <c r="F30" s="3" t="s">
        <v>106</v>
      </c>
    </row>
    <row r="31" spans="1:6" ht="15.75" customHeight="1">
      <c r="A31" s="3" t="s">
        <v>91</v>
      </c>
      <c r="B31" s="16" t="s">
        <v>107</v>
      </c>
      <c r="C31" s="17"/>
      <c r="D31" s="2" t="s">
        <v>108</v>
      </c>
      <c r="E31" s="4">
        <v>562</v>
      </c>
      <c r="F31" s="3" t="s">
        <v>109</v>
      </c>
    </row>
    <row r="32" spans="1:6" ht="15.75" customHeight="1">
      <c r="A32" s="3" t="s">
        <v>91</v>
      </c>
      <c r="B32" s="16" t="s">
        <v>110</v>
      </c>
      <c r="C32" s="17"/>
      <c r="D32" s="2" t="s">
        <v>111</v>
      </c>
      <c r="E32" s="4">
        <v>10761</v>
      </c>
      <c r="F32" s="3" t="s">
        <v>112</v>
      </c>
    </row>
    <row r="33" spans="1:6" ht="15.75" customHeight="1">
      <c r="A33" s="3" t="s">
        <v>91</v>
      </c>
      <c r="B33" s="16" t="s">
        <v>113</v>
      </c>
      <c r="C33" s="17"/>
      <c r="D33" s="2" t="s">
        <v>114</v>
      </c>
      <c r="E33" s="4">
        <v>408</v>
      </c>
      <c r="F33" s="3" t="s">
        <v>115</v>
      </c>
    </row>
    <row r="34" spans="1:6" ht="15.75" customHeight="1">
      <c r="A34" s="3" t="s">
        <v>91</v>
      </c>
      <c r="B34" s="16" t="s">
        <v>116</v>
      </c>
      <c r="C34" s="17"/>
      <c r="D34" s="2" t="s">
        <v>117</v>
      </c>
      <c r="E34" s="4">
        <v>570</v>
      </c>
      <c r="F34" s="3" t="s">
        <v>118</v>
      </c>
    </row>
    <row r="35" spans="1:6" ht="15.75" customHeight="1">
      <c r="A35" s="3" t="s">
        <v>91</v>
      </c>
      <c r="B35" s="16" t="s">
        <v>119</v>
      </c>
      <c r="C35" s="17"/>
      <c r="D35" s="2" t="s">
        <v>120</v>
      </c>
      <c r="E35" s="4">
        <v>2425</v>
      </c>
      <c r="F35" s="3" t="s">
        <v>121</v>
      </c>
    </row>
    <row r="36" spans="1:6" ht="15.75" customHeight="1">
      <c r="A36" s="3" t="s">
        <v>122</v>
      </c>
      <c r="B36" s="1" t="s">
        <v>123</v>
      </c>
      <c r="C36" s="1" t="s">
        <v>124</v>
      </c>
      <c r="D36" s="2" t="s">
        <v>125</v>
      </c>
      <c r="E36" s="4">
        <v>664</v>
      </c>
      <c r="F36" s="3" t="s">
        <v>126</v>
      </c>
    </row>
    <row r="37" spans="1:6" ht="14.4">
      <c r="A37" s="3" t="s">
        <v>122</v>
      </c>
      <c r="B37" s="1" t="s">
        <v>127</v>
      </c>
      <c r="C37" s="1" t="s">
        <v>128</v>
      </c>
      <c r="D37" s="2" t="s">
        <v>129</v>
      </c>
      <c r="E37" s="4">
        <v>1170</v>
      </c>
      <c r="F37" s="3" t="s">
        <v>130</v>
      </c>
    </row>
    <row r="38" spans="1:6" ht="14.4">
      <c r="A38" s="3" t="s">
        <v>122</v>
      </c>
      <c r="B38" s="1" t="s">
        <v>131</v>
      </c>
      <c r="C38" s="1" t="s">
        <v>132</v>
      </c>
      <c r="D38" s="2" t="s">
        <v>133</v>
      </c>
      <c r="E38" s="4">
        <v>426</v>
      </c>
      <c r="F38" s="3" t="s">
        <v>134</v>
      </c>
    </row>
    <row r="39" spans="1:6" ht="14.4">
      <c r="A39" s="3" t="s">
        <v>122</v>
      </c>
      <c r="B39" s="1" t="s">
        <v>135</v>
      </c>
      <c r="C39" s="1" t="s">
        <v>136</v>
      </c>
      <c r="D39" s="2" t="s">
        <v>137</v>
      </c>
      <c r="E39" s="4">
        <v>602</v>
      </c>
      <c r="F39" s="3" t="s">
        <v>138</v>
      </c>
    </row>
    <row r="40" spans="1:6" ht="14.4">
      <c r="A40" s="3" t="s">
        <v>122</v>
      </c>
      <c r="B40" s="18">
        <v>44166</v>
      </c>
      <c r="C40" s="17"/>
      <c r="D40" s="2" t="s">
        <v>139</v>
      </c>
      <c r="E40" s="4">
        <v>6297</v>
      </c>
      <c r="F40" s="3" t="s">
        <v>140</v>
      </c>
    </row>
    <row r="41" spans="1:6" ht="14.4">
      <c r="A41" s="3" t="s">
        <v>122</v>
      </c>
      <c r="B41" s="1" t="s">
        <v>141</v>
      </c>
      <c r="C41" s="1" t="s">
        <v>142</v>
      </c>
      <c r="D41" s="2" t="s">
        <v>143</v>
      </c>
      <c r="E41" s="4">
        <v>668</v>
      </c>
      <c r="F41" s="3" t="s">
        <v>144</v>
      </c>
    </row>
    <row r="42" spans="1:6" ht="14.4">
      <c r="A42" s="3" t="s">
        <v>122</v>
      </c>
      <c r="B42" s="1" t="s">
        <v>145</v>
      </c>
      <c r="C42" s="1" t="s">
        <v>146</v>
      </c>
      <c r="D42" s="2" t="s">
        <v>147</v>
      </c>
      <c r="E42" s="4">
        <v>2179</v>
      </c>
      <c r="F42" s="3" t="s">
        <v>148</v>
      </c>
    </row>
    <row r="43" spans="1:6" ht="14.4">
      <c r="A43" s="3" t="s">
        <v>122</v>
      </c>
      <c r="B43" s="1" t="s">
        <v>149</v>
      </c>
      <c r="C43" s="1" t="s">
        <v>150</v>
      </c>
      <c r="D43" s="2" t="s">
        <v>151</v>
      </c>
      <c r="E43" s="4">
        <v>914</v>
      </c>
      <c r="F43" s="3" t="s">
        <v>152</v>
      </c>
    </row>
    <row r="44" spans="1:6" ht="14.4">
      <c r="A44" s="3" t="s">
        <v>122</v>
      </c>
      <c r="B44" s="1" t="s">
        <v>153</v>
      </c>
      <c r="C44" s="1" t="s">
        <v>154</v>
      </c>
      <c r="D44" s="2" t="s">
        <v>155</v>
      </c>
      <c r="E44" s="4">
        <v>554</v>
      </c>
      <c r="F44" s="3" t="s">
        <v>156</v>
      </c>
    </row>
    <row r="45" spans="1:6" ht="14.4">
      <c r="A45" s="3" t="s">
        <v>157</v>
      </c>
      <c r="B45" s="16" t="s">
        <v>158</v>
      </c>
      <c r="C45" s="17"/>
      <c r="D45" s="2" t="s">
        <v>159</v>
      </c>
      <c r="E45" s="4">
        <v>2395</v>
      </c>
      <c r="F45" s="3" t="s">
        <v>160</v>
      </c>
    </row>
    <row r="46" spans="1:6" ht="14.4">
      <c r="A46" s="3" t="s">
        <v>157</v>
      </c>
      <c r="B46" s="16" t="s">
        <v>161</v>
      </c>
      <c r="C46" s="17"/>
      <c r="D46" s="2" t="s">
        <v>162</v>
      </c>
      <c r="E46" s="4">
        <v>673</v>
      </c>
      <c r="F46" s="3" t="s">
        <v>163</v>
      </c>
    </row>
    <row r="47" spans="1:6" ht="14.4">
      <c r="A47" s="3" t="s">
        <v>157</v>
      </c>
      <c r="B47" s="16" t="s">
        <v>164</v>
      </c>
      <c r="C47" s="17"/>
      <c r="D47" s="2" t="s">
        <v>165</v>
      </c>
      <c r="E47" s="4">
        <v>1400</v>
      </c>
      <c r="F47" s="3" t="s">
        <v>166</v>
      </c>
    </row>
    <row r="48" spans="1:6" ht="14.4">
      <c r="A48" s="3" t="s">
        <v>157</v>
      </c>
      <c r="B48" s="16" t="s">
        <v>167</v>
      </c>
      <c r="C48" s="17"/>
      <c r="D48" s="2" t="s">
        <v>168</v>
      </c>
      <c r="E48" s="4">
        <v>1691</v>
      </c>
      <c r="F48" s="3" t="s">
        <v>169</v>
      </c>
    </row>
    <row r="49" spans="1:6" ht="14.4">
      <c r="A49" s="3" t="s">
        <v>157</v>
      </c>
      <c r="B49" s="16" t="s">
        <v>170</v>
      </c>
      <c r="C49" s="17"/>
      <c r="D49" s="2" t="s">
        <v>171</v>
      </c>
      <c r="E49" s="4">
        <v>1921</v>
      </c>
      <c r="F49" s="3" t="s">
        <v>172</v>
      </c>
    </row>
    <row r="50" spans="1:6" ht="14.4">
      <c r="A50" s="3" t="s">
        <v>157</v>
      </c>
      <c r="B50" s="16" t="s">
        <v>173</v>
      </c>
      <c r="C50" s="17"/>
      <c r="D50" s="2" t="s">
        <v>174</v>
      </c>
      <c r="E50" s="4">
        <v>533</v>
      </c>
      <c r="F50" s="3" t="s">
        <v>175</v>
      </c>
    </row>
    <row r="51" spans="1:6" ht="14.4">
      <c r="A51" s="3" t="s">
        <v>157</v>
      </c>
      <c r="B51" s="16" t="s">
        <v>176</v>
      </c>
      <c r="C51" s="17"/>
      <c r="D51" s="2" t="s">
        <v>177</v>
      </c>
      <c r="E51" s="4">
        <v>320</v>
      </c>
      <c r="F51" s="3" t="s">
        <v>178</v>
      </c>
    </row>
    <row r="52" spans="1:6" ht="14.4">
      <c r="A52" s="3" t="s">
        <v>157</v>
      </c>
      <c r="B52" s="16" t="s">
        <v>179</v>
      </c>
      <c r="C52" s="17"/>
      <c r="D52" s="2" t="s">
        <v>180</v>
      </c>
      <c r="E52" s="4">
        <v>1192</v>
      </c>
      <c r="F52" s="3" t="s">
        <v>181</v>
      </c>
    </row>
    <row r="53" spans="1:6" ht="14.4">
      <c r="A53" s="3" t="s">
        <v>182</v>
      </c>
      <c r="B53" s="1" t="s">
        <v>183</v>
      </c>
      <c r="C53" s="1" t="s">
        <v>184</v>
      </c>
      <c r="D53" s="2" t="s">
        <v>185</v>
      </c>
      <c r="E53" s="4">
        <v>841</v>
      </c>
      <c r="F53" s="3" t="s">
        <v>186</v>
      </c>
    </row>
    <row r="54" spans="1:6" ht="14.4">
      <c r="A54" s="3" t="s">
        <v>182</v>
      </c>
      <c r="B54" s="1" t="s">
        <v>187</v>
      </c>
      <c r="C54" s="1" t="s">
        <v>188</v>
      </c>
      <c r="D54" s="2" t="s">
        <v>189</v>
      </c>
      <c r="E54" s="4">
        <v>293</v>
      </c>
      <c r="F54" s="3" t="s">
        <v>190</v>
      </c>
    </row>
    <row r="55" spans="1:6" ht="14.4">
      <c r="A55" s="3" t="s">
        <v>182</v>
      </c>
      <c r="B55" s="1" t="s">
        <v>191</v>
      </c>
      <c r="C55" s="1" t="s">
        <v>192</v>
      </c>
      <c r="D55" s="2" t="s">
        <v>193</v>
      </c>
      <c r="E55" s="4">
        <v>311</v>
      </c>
      <c r="F55" s="3" t="s">
        <v>194</v>
      </c>
    </row>
    <row r="56" spans="1:6" ht="14.4">
      <c r="A56" s="3" t="s">
        <v>182</v>
      </c>
      <c r="B56" s="1" t="s">
        <v>195</v>
      </c>
      <c r="C56" s="1" t="s">
        <v>196</v>
      </c>
      <c r="D56" s="2" t="s">
        <v>197</v>
      </c>
      <c r="E56" s="4">
        <v>393</v>
      </c>
      <c r="F56" s="3" t="s">
        <v>198</v>
      </c>
    </row>
    <row r="57" spans="1:6" ht="14.4">
      <c r="A57" s="3" t="s">
        <v>182</v>
      </c>
      <c r="B57" s="1" t="s">
        <v>199</v>
      </c>
      <c r="C57" s="1" t="s">
        <v>200</v>
      </c>
      <c r="D57" s="2" t="s">
        <v>201</v>
      </c>
      <c r="E57" s="4">
        <v>295</v>
      </c>
      <c r="F57" s="3" t="s">
        <v>202</v>
      </c>
    </row>
    <row r="58" spans="1:6" ht="14.4">
      <c r="A58" s="3" t="s">
        <v>182</v>
      </c>
      <c r="B58" s="1" t="s">
        <v>203</v>
      </c>
      <c r="C58" s="1" t="s">
        <v>204</v>
      </c>
      <c r="D58" s="2" t="s">
        <v>205</v>
      </c>
      <c r="E58" s="4">
        <v>372</v>
      </c>
      <c r="F58" s="3" t="s">
        <v>206</v>
      </c>
    </row>
    <row r="59" spans="1:6" ht="14.4">
      <c r="A59" s="3" t="s">
        <v>182</v>
      </c>
      <c r="B59" s="1" t="s">
        <v>207</v>
      </c>
      <c r="C59" s="1" t="s">
        <v>208</v>
      </c>
      <c r="D59" s="2" t="s">
        <v>209</v>
      </c>
      <c r="E59" s="4">
        <v>557</v>
      </c>
      <c r="F59" s="3" t="s">
        <v>210</v>
      </c>
    </row>
    <row r="60" spans="1:6" ht="14.4">
      <c r="A60" s="3" t="s">
        <v>182</v>
      </c>
      <c r="B60" s="1" t="s">
        <v>211</v>
      </c>
      <c r="C60" s="1" t="s">
        <v>212</v>
      </c>
      <c r="D60" s="2" t="s">
        <v>213</v>
      </c>
      <c r="E60" s="4">
        <v>601</v>
      </c>
      <c r="F60" s="3" t="s">
        <v>214</v>
      </c>
    </row>
    <row r="61" spans="1:6" ht="14.4">
      <c r="A61" s="3" t="s">
        <v>182</v>
      </c>
      <c r="B61" s="1">
        <v>2020</v>
      </c>
      <c r="C61" s="1" t="s">
        <v>215</v>
      </c>
      <c r="D61" s="2" t="s">
        <v>216</v>
      </c>
      <c r="E61" s="4">
        <v>1363</v>
      </c>
      <c r="F61" s="3" t="s">
        <v>217</v>
      </c>
    </row>
    <row r="62" spans="1:6" ht="14.4">
      <c r="A62" s="3" t="s">
        <v>182</v>
      </c>
      <c r="B62" s="1" t="s">
        <v>218</v>
      </c>
      <c r="C62" s="1" t="s">
        <v>219</v>
      </c>
      <c r="D62" s="2" t="s">
        <v>220</v>
      </c>
      <c r="E62" s="4">
        <v>332</v>
      </c>
      <c r="F62" s="3" t="s">
        <v>221</v>
      </c>
    </row>
    <row r="63" spans="1:6" ht="14.4">
      <c r="A63" s="3" t="s">
        <v>222</v>
      </c>
      <c r="B63" s="16" t="s">
        <v>223</v>
      </c>
      <c r="C63" s="17"/>
      <c r="D63" s="2" t="s">
        <v>224</v>
      </c>
      <c r="E63" s="4">
        <v>98</v>
      </c>
      <c r="F63" s="3" t="s">
        <v>225</v>
      </c>
    </row>
    <row r="64" spans="1:6" ht="14.4">
      <c r="A64" s="3" t="s">
        <v>222</v>
      </c>
      <c r="B64" s="16" t="s">
        <v>226</v>
      </c>
      <c r="C64" s="17"/>
      <c r="D64" s="2" t="s">
        <v>227</v>
      </c>
      <c r="E64" s="4">
        <v>2393</v>
      </c>
      <c r="F64" s="3" t="s">
        <v>228</v>
      </c>
    </row>
    <row r="65" spans="1:11" ht="14.4">
      <c r="A65" s="3" t="s">
        <v>222</v>
      </c>
      <c r="B65" s="16" t="s">
        <v>229</v>
      </c>
      <c r="C65" s="17"/>
      <c r="D65" s="2" t="s">
        <v>230</v>
      </c>
      <c r="E65" s="4">
        <v>667</v>
      </c>
      <c r="F65" s="3" t="s">
        <v>231</v>
      </c>
    </row>
    <row r="66" spans="1:11" ht="14.4">
      <c r="A66" s="3" t="s">
        <v>222</v>
      </c>
      <c r="B66" s="16" t="s">
        <v>232</v>
      </c>
      <c r="C66" s="17"/>
      <c r="D66" s="2" t="s">
        <v>233</v>
      </c>
      <c r="E66" s="4">
        <v>1907</v>
      </c>
      <c r="F66" s="3" t="s">
        <v>234</v>
      </c>
    </row>
    <row r="67" spans="1:11" ht="14.4">
      <c r="A67" s="3" t="s">
        <v>222</v>
      </c>
      <c r="B67" s="16" t="s">
        <v>235</v>
      </c>
      <c r="C67" s="17"/>
      <c r="D67" s="2" t="s">
        <v>236</v>
      </c>
      <c r="E67" s="4">
        <v>141</v>
      </c>
      <c r="F67" s="3" t="s">
        <v>237</v>
      </c>
    </row>
    <row r="68" spans="1:11" ht="14.4">
      <c r="A68" s="3" t="s">
        <v>222</v>
      </c>
      <c r="B68" s="16" t="s">
        <v>238</v>
      </c>
      <c r="C68" s="17"/>
      <c r="D68" s="2" t="s">
        <v>239</v>
      </c>
      <c r="E68" s="4">
        <v>1172</v>
      </c>
      <c r="F68" s="3" t="s">
        <v>240</v>
      </c>
    </row>
    <row r="69" spans="1:11" ht="14.4">
      <c r="A69" s="3" t="s">
        <v>222</v>
      </c>
      <c r="B69" s="16" t="s">
        <v>241</v>
      </c>
      <c r="C69" s="17"/>
      <c r="D69" s="2" t="s">
        <v>242</v>
      </c>
      <c r="E69" s="4">
        <v>182</v>
      </c>
      <c r="F69" s="3" t="s">
        <v>243</v>
      </c>
    </row>
    <row r="70" spans="1:11" ht="14.4">
      <c r="A70" s="3" t="s">
        <v>222</v>
      </c>
      <c r="B70" s="16" t="s">
        <v>244</v>
      </c>
      <c r="C70" s="17"/>
      <c r="D70" s="2" t="s">
        <v>245</v>
      </c>
      <c r="E70" s="4">
        <v>231</v>
      </c>
      <c r="F70" s="3" t="s">
        <v>246</v>
      </c>
    </row>
    <row r="71" spans="1:11" ht="14.4">
      <c r="A71" s="7" t="s">
        <v>247</v>
      </c>
      <c r="B71" s="13" t="str">
        <f ca="1">IFERROR(__xludf.DUMMYFUNCTION("Hyperlink($F82, IMPORTXML($F82,""//title""))"),"#N/A")</f>
        <v>#N/A</v>
      </c>
      <c r="D71" s="9" t="s">
        <v>248</v>
      </c>
      <c r="F71" s="10" t="s">
        <v>249</v>
      </c>
      <c r="J71" s="11"/>
      <c r="K71" s="12"/>
    </row>
    <row r="72" spans="1:11" ht="14.4">
      <c r="A72" s="7" t="s">
        <v>247</v>
      </c>
      <c r="B72" s="13" t="str">
        <f ca="1">IFERROR(__xludf.DUMMYFUNCTION("Hyperlink($F83, IMPORTXML($F83,""//title""))"),"#N/A")</f>
        <v>#N/A</v>
      </c>
      <c r="D72" s="9" t="s">
        <v>250</v>
      </c>
      <c r="F72" s="10" t="s">
        <v>251</v>
      </c>
      <c r="J72" s="11"/>
      <c r="K72" s="12"/>
    </row>
    <row r="73" spans="1:11" ht="14.4">
      <c r="A73" s="7" t="s">
        <v>247</v>
      </c>
      <c r="B73" s="13" t="str">
        <f ca="1">IFERROR(__xludf.DUMMYFUNCTION("Hyperlink($F84, IMPORTXML($F84,""//title""))"),"#N/A")</f>
        <v>#N/A</v>
      </c>
      <c r="D73" s="9" t="s">
        <v>252</v>
      </c>
      <c r="F73" s="10" t="s">
        <v>253</v>
      </c>
      <c r="J73" s="11"/>
      <c r="K73" s="12"/>
    </row>
    <row r="74" spans="1:11" ht="14.4">
      <c r="A74" s="7" t="s">
        <v>247</v>
      </c>
      <c r="B74" s="13" t="str">
        <f ca="1">IFERROR(__xludf.DUMMYFUNCTION("Hyperlink($F85, IMPORTXML($F85,""//title""))"),"#N/A")</f>
        <v>#N/A</v>
      </c>
      <c r="D74" s="9" t="s">
        <v>254</v>
      </c>
      <c r="F74" s="10" t="s">
        <v>255</v>
      </c>
      <c r="J74" s="11"/>
      <c r="K74" s="12"/>
    </row>
    <row r="75" spans="1:11" ht="14.4">
      <c r="A75" s="7" t="s">
        <v>247</v>
      </c>
      <c r="B75" s="13" t="str">
        <f ca="1">IFERROR(__xludf.DUMMYFUNCTION("Hyperlink($F86, IMPORTXML($F86,""//title""))"),"#N/A")</f>
        <v>#N/A</v>
      </c>
      <c r="D75" s="9" t="s">
        <v>256</v>
      </c>
      <c r="F75" s="10" t="s">
        <v>257</v>
      </c>
      <c r="J75" s="11"/>
      <c r="K75" s="12"/>
    </row>
    <row r="76" spans="1:11" ht="14.4">
      <c r="A76" s="7" t="s">
        <v>247</v>
      </c>
      <c r="B76" s="13" t="str">
        <f ca="1">IFERROR(__xludf.DUMMYFUNCTION("Hyperlink($F87, IMPORTXML($F87,""//title""))"),"#N/A")</f>
        <v>#N/A</v>
      </c>
      <c r="D76" s="9" t="s">
        <v>258</v>
      </c>
      <c r="F76" s="10" t="s">
        <v>259</v>
      </c>
      <c r="J76" s="11"/>
      <c r="K76" s="12"/>
    </row>
    <row r="77" spans="1:11" ht="14.4">
      <c r="A77" s="7" t="s">
        <v>247</v>
      </c>
      <c r="B77" s="13" t="str">
        <f ca="1">IFERROR(__xludf.DUMMYFUNCTION("Hyperlink($F88, IMPORTXML($F88,""//title""))"),"#N/A")</f>
        <v>#N/A</v>
      </c>
      <c r="D77" s="9" t="s">
        <v>260</v>
      </c>
      <c r="F77" s="10" t="s">
        <v>261</v>
      </c>
      <c r="J77" s="11"/>
      <c r="K77" s="12"/>
    </row>
    <row r="78" spans="1:11" ht="14.4">
      <c r="A78" s="7" t="s">
        <v>247</v>
      </c>
      <c r="B78" s="13" t="str">
        <f ca="1">IFERROR(__xludf.DUMMYFUNCTION("Hyperlink($F89, IMPORTXML($F89,""//title""))"),"#N/A")</f>
        <v>#N/A</v>
      </c>
      <c r="D78" s="9" t="s">
        <v>262</v>
      </c>
      <c r="F78" s="10" t="s">
        <v>263</v>
      </c>
      <c r="J78" s="11"/>
      <c r="K78" s="12"/>
    </row>
    <row r="79" spans="1:11" ht="14.4">
      <c r="A79" s="7" t="s">
        <v>247</v>
      </c>
      <c r="B79" s="13" t="str">
        <f ca="1">IFERROR(__xludf.DUMMYFUNCTION("Hyperlink($F90, IMPORTXML($F90,""//title""))"),"#N/A")</f>
        <v>#N/A</v>
      </c>
      <c r="D79" s="9" t="s">
        <v>264</v>
      </c>
      <c r="F79" s="10" t="s">
        <v>265</v>
      </c>
      <c r="J79" s="11"/>
      <c r="K79" s="12"/>
    </row>
    <row r="80" spans="1:11" ht="14.4">
      <c r="A80" s="7" t="s">
        <v>247</v>
      </c>
      <c r="B80" s="13" t="str">
        <f ca="1">IFERROR(__xludf.DUMMYFUNCTION("Hyperlink($F91, IMPORTXML($F91,""//title""))"),"#N/A")</f>
        <v>#N/A</v>
      </c>
      <c r="D80" s="9" t="s">
        <v>266</v>
      </c>
      <c r="F80" s="10" t="s">
        <v>267</v>
      </c>
      <c r="J80" s="11"/>
      <c r="K80" s="12"/>
    </row>
    <row r="81" spans="1:11" ht="14.4">
      <c r="A81" s="7" t="s">
        <v>268</v>
      </c>
      <c r="B81" s="8" t="str">
        <f ca="1">IFERROR(__xludf.DUMMYFUNCTION("Hyperlink($F92, IMPORTXML($F92,""//title""))"),"SPACs break 2020 record in just 3 months")</f>
        <v>SPACs break 2020 record in just 3 months</v>
      </c>
      <c r="D81" s="9" t="s">
        <v>269</v>
      </c>
      <c r="F81" s="10" t="s">
        <v>270</v>
      </c>
      <c r="J81" s="11"/>
      <c r="K81" s="12"/>
    </row>
    <row r="82" spans="1:11" ht="14.4">
      <c r="A82" s="7" t="s">
        <v>268</v>
      </c>
      <c r="B82" s="8" t="str">
        <f ca="1">IFERROR(__xludf.DUMMYFUNCTION("Hyperlink($F93, IMPORTXML($F93,""//title""))"),"Climate change: 2020 one of hottest years on record, tied with 2016")</f>
        <v>Climate change: 2020 one of hottest years on record, tied with 2016</v>
      </c>
      <c r="D82" s="9" t="s">
        <v>271</v>
      </c>
      <c r="F82" s="10" t="s">
        <v>272</v>
      </c>
      <c r="J82" s="11"/>
      <c r="K82" s="12"/>
    </row>
    <row r="83" spans="1:11" ht="14.4">
      <c r="A83" s="7" t="s">
        <v>268</v>
      </c>
      <c r="B83" s="8" t="str">
        <f ca="1">IFERROR(__xludf.DUMMYFUNCTION("Hyperlink($F94, IMPORTXML($F94,""//title""))"),"U.S. trade deficit August 2020")</f>
        <v>U.S. trade deficit August 2020</v>
      </c>
      <c r="D83" s="9" t="s">
        <v>273</v>
      </c>
      <c r="F83" s="10" t="s">
        <v>274</v>
      </c>
      <c r="J83" s="11"/>
      <c r="K83" s="12"/>
    </row>
    <row r="84" spans="1:11" ht="14.4">
      <c r="A84" s="7" t="s">
        <v>268</v>
      </c>
      <c r="B84" s="8" t="str">
        <f ca="1">IFERROR(__xludf.DUMMYFUNCTION("Hyperlink($F95, IMPORTXML($F95,""//title""))"),"U.S. Justice Department releases report on Trump attempt to overturn 2020 
election")</f>
        <v>U.S. Justice Department releases report on Trump attempt to overturn 2020 
election</v>
      </c>
      <c r="D84" s="9" t="s">
        <v>275</v>
      </c>
      <c r="F84" s="10" t="s">
        <v>276</v>
      </c>
      <c r="J84" s="11"/>
      <c r="K84" s="12"/>
    </row>
    <row r="85" spans="1:11" ht="14.4">
      <c r="A85" s="7" t="s">
        <v>268</v>
      </c>
      <c r="B85" s="8" t="str">
        <f ca="1">IFERROR(__xludf.DUMMYFUNCTION("Hyperlink($F96, IMPORTXML($F96,""//title""))"),"Meet the 2020 CNBC Disruptor 50 companies")</f>
        <v>Meet the 2020 CNBC Disruptor 50 companies</v>
      </c>
      <c r="D85" s="9" t="s">
        <v>277</v>
      </c>
      <c r="F85" s="10" t="s">
        <v>278</v>
      </c>
      <c r="J85" s="11"/>
      <c r="K85" s="12"/>
    </row>
    <row r="86" spans="1:11" ht="14.4">
      <c r="A86" s="7" t="s">
        <v>268</v>
      </c>
      <c r="B86" s="8" t="str">
        <f ca="1">IFERROR(__xludf.DUMMYFUNCTION("Hyperlink($F97, IMPORTXML($F97,""//title""))"),"Toyota beats Volkswagen to become world's No.1 car seller in 2020")</f>
        <v>Toyota beats Volkswagen to become world's No.1 car seller in 2020</v>
      </c>
      <c r="D86" s="9" t="s">
        <v>279</v>
      </c>
      <c r="F86" s="10" t="s">
        <v>280</v>
      </c>
      <c r="J86" s="11"/>
      <c r="K86" s="12"/>
    </row>
    <row r="87" spans="1:11" ht="14.4">
      <c r="A87" s="7" t="s">
        <v>268</v>
      </c>
      <c r="B87" s="8" t="str">
        <f ca="1">IFERROR(__xludf.DUMMYFUNCTION("Hyperlink($F98, IMPORTXML($F98,""//title""))"),"China economy: release of fourth quarter, full-year 2020 GDP")</f>
        <v>China economy: release of fourth quarter, full-year 2020 GDP</v>
      </c>
      <c r="D87" s="9" t="s">
        <v>281</v>
      </c>
      <c r="F87" s="10" t="s">
        <v>282</v>
      </c>
      <c r="J87" s="11"/>
      <c r="K87" s="12"/>
    </row>
    <row r="88" spans="1:11" ht="14.4">
      <c r="A88" s="7" t="s">
        <v>268</v>
      </c>
      <c r="B88" s="8" t="str">
        <f ca="1">IFERROR(__xludf.DUMMYFUNCTION("Hyperlink($F99, IMPORTXML($F99,""//title""))"),"The Covid recession brought extreme inequality in 2020")</f>
        <v>The Covid recession brought extreme inequality in 2020</v>
      </c>
      <c r="D88" s="9" t="s">
        <v>283</v>
      </c>
      <c r="F88" s="10" t="s">
        <v>284</v>
      </c>
      <c r="J88" s="11"/>
      <c r="K88" s="12"/>
    </row>
    <row r="89" spans="1:11" ht="14.4">
      <c r="A89" s="7" t="s">
        <v>268</v>
      </c>
      <c r="B89" s="8" t="str">
        <f ca="1">IFERROR(__xludf.DUMMYFUNCTION("Hyperlink($F100, IMPORTXML($F100,""//title""))"),"Amazon (AMZN) earnings Q4 2020")</f>
        <v>Amazon (AMZN) earnings Q4 2020</v>
      </c>
      <c r="D89" s="9" t="s">
        <v>285</v>
      </c>
      <c r="F89" s="10" t="s">
        <v>286</v>
      </c>
      <c r="J89" s="11"/>
      <c r="K89" s="12"/>
    </row>
    <row r="90" spans="1:11" ht="14.4">
      <c r="A90" s="7" t="s">
        <v>268</v>
      </c>
      <c r="B90" s="8" t="str">
        <f ca="1">IFERROR(__xludf.DUMMYFUNCTION("Hyperlink($F101, IMPORTXML($F101,""//title""))"),"Covid was third leading cause of death in U.S. in 2020, behind heart 
disease and cancer, CDC says")</f>
        <v>Covid was third leading cause of death in U.S. in 2020, behind heart 
disease and cancer, CDC says</v>
      </c>
      <c r="D90" s="9" t="s">
        <v>287</v>
      </c>
      <c r="F90" s="10" t="s">
        <v>288</v>
      </c>
      <c r="J90" s="11"/>
      <c r="K90" s="12"/>
    </row>
    <row r="91" spans="1:11" ht="409.6">
      <c r="A91" s="7" t="s">
        <v>289</v>
      </c>
      <c r="B91" s="8" t="str">
        <f ca="1">IFERROR(__xludf.DUMMYFUNCTION("Hyperlink($F102, IMPORTXML($F102,""//title""))"),"The 50 Biggest Stories About the Environment in 2020 - Newsweek")</f>
        <v>The 50 Biggest Stories About the Environment in 2020 - Newsweek</v>
      </c>
      <c r="D91" s="11" t="s">
        <v>293</v>
      </c>
      <c r="F91" s="10" t="s">
        <v>290</v>
      </c>
      <c r="J91" s="11"/>
      <c r="K91" s="12"/>
    </row>
    <row r="92" spans="1:11" ht="14.4">
      <c r="A92" s="7" t="s">
        <v>289</v>
      </c>
      <c r="B92" s="8" t="str">
        <f ca="1">IFERROR(__xludf.DUMMYFUNCTION("Hyperlink($F103, IMPORTXML($F103,""//title""))"),"It Can’t Get Any Worse Than 2020. Here’s a 2021 Political... - Newsweek")</f>
        <v>It Can’t Get Any Worse Than 2020. Here’s a 2021 Political... - Newsweek</v>
      </c>
      <c r="D92" s="9" t="s">
        <v>294</v>
      </c>
      <c r="F92" s="10" t="s">
        <v>291</v>
      </c>
      <c r="J92" s="11"/>
      <c r="K92" s="12"/>
    </row>
    <row r="93" spans="1:11" ht="13.2">
      <c r="D93" s="9"/>
      <c r="J93" s="11"/>
      <c r="K93" s="12"/>
    </row>
    <row r="94" spans="1:11" ht="13.2">
      <c r="D94" s="9"/>
      <c r="J94" s="11"/>
      <c r="K94" s="12"/>
    </row>
    <row r="95" spans="1:11" ht="13.2">
      <c r="D95" s="9"/>
      <c r="J95" s="11"/>
      <c r="K95" s="12"/>
    </row>
    <row r="96" spans="1:11" ht="14.4">
      <c r="D96" s="9"/>
      <c r="F96" s="14"/>
      <c r="J96" s="11"/>
      <c r="K96" s="12"/>
    </row>
    <row r="97" spans="4:11" ht="13.2">
      <c r="D97" s="9"/>
      <c r="J97" s="11"/>
      <c r="K97" s="12"/>
    </row>
    <row r="98" spans="4:11" ht="13.2">
      <c r="D98" s="9"/>
      <c r="J98" s="11"/>
      <c r="K98" s="12"/>
    </row>
    <row r="99" spans="4:11" ht="13.2">
      <c r="D99" s="9"/>
      <c r="J99" s="11"/>
      <c r="K99" s="12"/>
    </row>
    <row r="100" spans="4:11" ht="13.2">
      <c r="D100" s="9"/>
      <c r="J100" s="11"/>
      <c r="K100" s="12"/>
    </row>
    <row r="101" spans="4:11" ht="13.2">
      <c r="D101" s="9"/>
      <c r="J101" s="11"/>
      <c r="K101" s="12"/>
    </row>
    <row r="102" spans="4:11" ht="13.2">
      <c r="D102" s="9"/>
      <c r="J102" s="11"/>
      <c r="K102" s="12"/>
    </row>
    <row r="103" spans="4:11" ht="13.2">
      <c r="D103" s="9"/>
      <c r="J103" s="11"/>
      <c r="K103" s="12"/>
    </row>
    <row r="104" spans="4:11" ht="13.2">
      <c r="D104" s="9"/>
      <c r="J104" s="11"/>
      <c r="K104" s="12"/>
    </row>
    <row r="105" spans="4:11" ht="13.2">
      <c r="D105" s="9"/>
      <c r="J105" s="11"/>
      <c r="K105" s="12"/>
    </row>
    <row r="106" spans="4:11" ht="13.2">
      <c r="D106" s="9"/>
      <c r="J106" s="11"/>
      <c r="K106" s="12"/>
    </row>
    <row r="107" spans="4:11" ht="14.4">
      <c r="D107" s="9"/>
      <c r="F107" s="14"/>
      <c r="J107" s="11"/>
      <c r="K107" s="12"/>
    </row>
    <row r="108" spans="4:11" ht="13.2">
      <c r="D108" s="9"/>
      <c r="J108" s="11"/>
      <c r="K108" s="12"/>
    </row>
    <row r="109" spans="4:11" ht="13.2">
      <c r="D109" s="9"/>
      <c r="J109" s="11"/>
      <c r="K109" s="12"/>
    </row>
    <row r="110" spans="4:11" ht="13.2">
      <c r="D110" s="9"/>
      <c r="J110" s="11"/>
      <c r="K110" s="12"/>
    </row>
    <row r="111" spans="4:11" ht="13.2">
      <c r="D111" s="9"/>
      <c r="J111" s="11"/>
      <c r="K111" s="12"/>
    </row>
    <row r="112" spans="4:11" ht="13.2">
      <c r="D112" s="9"/>
      <c r="J112" s="11"/>
      <c r="K112" s="12"/>
    </row>
    <row r="113" spans="4:11" ht="13.2">
      <c r="D113" s="9"/>
      <c r="J113" s="11"/>
      <c r="K113" s="12"/>
    </row>
    <row r="114" spans="4:11" ht="13.2">
      <c r="D114" s="9"/>
      <c r="J114" s="11"/>
      <c r="K114" s="12"/>
    </row>
    <row r="115" spans="4:11" ht="13.2">
      <c r="D115" s="9"/>
      <c r="J115" s="11"/>
      <c r="K115" s="12"/>
    </row>
    <row r="116" spans="4:11" ht="13.2">
      <c r="D116" s="9"/>
      <c r="J116" s="11"/>
      <c r="K116" s="12"/>
    </row>
    <row r="117" spans="4:11" ht="13.2">
      <c r="D117" s="9"/>
      <c r="J117" s="11"/>
      <c r="K117" s="12"/>
    </row>
    <row r="118" spans="4:11" ht="14.4">
      <c r="D118" s="9"/>
      <c r="F118" s="14"/>
      <c r="J118" s="11"/>
      <c r="K118" s="12"/>
    </row>
    <row r="119" spans="4:11" ht="14.4">
      <c r="D119" s="9"/>
      <c r="F119" s="14"/>
      <c r="J119" s="11"/>
      <c r="K119" s="12"/>
    </row>
    <row r="120" spans="4:11" ht="14.4">
      <c r="D120" s="9"/>
      <c r="F120" s="14"/>
      <c r="J120" s="11"/>
      <c r="K120" s="12"/>
    </row>
    <row r="121" spans="4:11" ht="14.4">
      <c r="D121" s="9"/>
      <c r="F121" s="14"/>
      <c r="J121" s="11"/>
      <c r="K121" s="12"/>
    </row>
    <row r="122" spans="4:11" ht="14.4">
      <c r="D122" s="9"/>
      <c r="F122" s="14"/>
      <c r="J122" s="11"/>
      <c r="K122" s="12"/>
    </row>
    <row r="123" spans="4:11" ht="14.4">
      <c r="D123" s="9"/>
      <c r="F123" s="14"/>
      <c r="J123" s="11"/>
      <c r="K123" s="12"/>
    </row>
    <row r="124" spans="4:11" ht="14.4">
      <c r="D124" s="9"/>
      <c r="F124" s="14"/>
      <c r="J124" s="11"/>
      <c r="K124" s="12"/>
    </row>
    <row r="125" spans="4:11" ht="14.4">
      <c r="D125" s="9"/>
      <c r="F125" s="14"/>
      <c r="J125" s="11"/>
      <c r="K125" s="12"/>
    </row>
    <row r="126" spans="4:11" ht="14.4">
      <c r="D126" s="9"/>
      <c r="F126" s="14"/>
      <c r="J126" s="11"/>
      <c r="K126" s="12"/>
    </row>
    <row r="127" spans="4:11" ht="14.4">
      <c r="D127" s="9"/>
      <c r="F127" s="14"/>
      <c r="J127" s="11"/>
      <c r="K127" s="12"/>
    </row>
    <row r="128" spans="4:11" ht="14.4">
      <c r="D128" s="9"/>
      <c r="F128" s="14"/>
      <c r="J128" s="11"/>
      <c r="K128" s="12"/>
    </row>
    <row r="129" spans="4:11" ht="14.4">
      <c r="D129" s="9"/>
      <c r="F129" s="14"/>
      <c r="J129" s="11"/>
      <c r="K129" s="12"/>
    </row>
    <row r="130" spans="4:11" ht="14.4">
      <c r="D130" s="9"/>
      <c r="F130" s="14"/>
      <c r="J130" s="11"/>
      <c r="K130" s="12"/>
    </row>
    <row r="131" spans="4:11" ht="14.4">
      <c r="D131" s="9"/>
      <c r="F131" s="14"/>
      <c r="J131" s="11"/>
      <c r="K131" s="12"/>
    </row>
    <row r="132" spans="4:11" ht="14.4">
      <c r="D132" s="9"/>
      <c r="F132" s="14"/>
      <c r="J132" s="11"/>
      <c r="K132" s="12"/>
    </row>
    <row r="133" spans="4:11" ht="14.4">
      <c r="D133" s="9"/>
      <c r="F133" s="14"/>
      <c r="J133" s="11"/>
      <c r="K133" s="12"/>
    </row>
    <row r="134" spans="4:11" ht="14.4">
      <c r="D134" s="9"/>
      <c r="F134" s="14"/>
      <c r="J134" s="11"/>
      <c r="K134" s="12"/>
    </row>
    <row r="135" spans="4:11" ht="14.4">
      <c r="D135" s="9"/>
      <c r="F135" s="14"/>
      <c r="J135" s="11"/>
      <c r="K135" s="12"/>
    </row>
    <row r="136" spans="4:11" ht="14.4">
      <c r="D136" s="9"/>
      <c r="F136" s="14"/>
      <c r="J136" s="11"/>
      <c r="K136" s="12"/>
    </row>
    <row r="137" spans="4:11" ht="14.4">
      <c r="D137" s="9"/>
      <c r="F137" s="14"/>
      <c r="J137" s="11"/>
      <c r="K137" s="12"/>
    </row>
    <row r="138" spans="4:11" ht="14.4">
      <c r="D138" s="9"/>
      <c r="F138" s="14"/>
      <c r="J138" s="11"/>
      <c r="K138" s="12"/>
    </row>
    <row r="139" spans="4:11" ht="14.4">
      <c r="D139" s="9"/>
      <c r="F139" s="14"/>
      <c r="J139" s="11"/>
      <c r="K139" s="12"/>
    </row>
    <row r="140" spans="4:11" ht="13.2">
      <c r="D140" s="9"/>
    </row>
    <row r="141" spans="4:11" ht="13.2">
      <c r="D141" s="9"/>
    </row>
    <row r="142" spans="4:11" ht="13.2">
      <c r="D142" s="9"/>
    </row>
    <row r="143" spans="4:11" ht="13.2">
      <c r="D143" s="9"/>
    </row>
    <row r="144" spans="4:11" ht="13.2">
      <c r="D144" s="9"/>
    </row>
    <row r="145" spans="4:4" ht="13.2">
      <c r="D145" s="9"/>
    </row>
    <row r="146" spans="4:4" ht="13.2">
      <c r="D146" s="9"/>
    </row>
    <row r="147" spans="4:4" ht="13.2">
      <c r="D147" s="9"/>
    </row>
    <row r="148" spans="4:4" ht="13.2">
      <c r="D148" s="9"/>
    </row>
    <row r="149" spans="4:4" ht="13.2">
      <c r="D149" s="9"/>
    </row>
    <row r="150" spans="4:4" ht="13.2">
      <c r="D150" s="9"/>
    </row>
    <row r="151" spans="4:4" ht="13.2">
      <c r="D151" s="9"/>
    </row>
    <row r="152" spans="4:4" ht="13.2">
      <c r="D152" s="9"/>
    </row>
    <row r="153" spans="4:4" ht="13.2">
      <c r="D153" s="9"/>
    </row>
    <row r="154" spans="4:4" ht="13.2">
      <c r="D154" s="9"/>
    </row>
    <row r="155" spans="4:4" ht="13.2">
      <c r="D155" s="9"/>
    </row>
    <row r="156" spans="4:4" ht="13.2">
      <c r="D156" s="9"/>
    </row>
    <row r="157" spans="4:4" ht="13.2">
      <c r="D157" s="9"/>
    </row>
    <row r="158" spans="4:4" ht="13.2">
      <c r="D158" s="9"/>
    </row>
    <row r="159" spans="4:4" ht="13.2">
      <c r="D159" s="9"/>
    </row>
    <row r="160" spans="4:4" ht="13.2">
      <c r="D160" s="9"/>
    </row>
    <row r="161" spans="4:4" ht="13.2">
      <c r="D161" s="9"/>
    </row>
    <row r="162" spans="4:4" ht="13.2">
      <c r="D162" s="9"/>
    </row>
    <row r="163" spans="4:4" ht="13.2">
      <c r="D163" s="9"/>
    </row>
    <row r="164" spans="4:4" ht="13.2">
      <c r="D164" s="9"/>
    </row>
    <row r="165" spans="4:4" ht="13.2">
      <c r="D165" s="9"/>
    </row>
    <row r="166" spans="4:4" ht="13.2">
      <c r="D166" s="9"/>
    </row>
    <row r="167" spans="4:4" ht="13.2">
      <c r="D167" s="9"/>
    </row>
    <row r="168" spans="4:4" ht="13.2">
      <c r="D168" s="9"/>
    </row>
    <row r="169" spans="4:4" ht="13.2">
      <c r="D169" s="9"/>
    </row>
    <row r="170" spans="4:4" ht="13.2">
      <c r="D170" s="9"/>
    </row>
    <row r="171" spans="4:4" ht="13.2">
      <c r="D171" s="9"/>
    </row>
    <row r="172" spans="4:4" ht="13.2">
      <c r="D172" s="9"/>
    </row>
    <row r="173" spans="4:4" ht="13.2">
      <c r="D173" s="9"/>
    </row>
    <row r="174" spans="4:4" ht="13.2">
      <c r="D174" s="9"/>
    </row>
    <row r="175" spans="4:4" ht="13.2">
      <c r="D175" s="9"/>
    </row>
    <row r="176" spans="4:4" ht="13.2">
      <c r="D176" s="9"/>
    </row>
    <row r="177" spans="4:4" ht="13.2">
      <c r="D177" s="9"/>
    </row>
    <row r="178" spans="4:4" ht="13.2">
      <c r="D178" s="9"/>
    </row>
    <row r="179" spans="4:4" ht="13.2">
      <c r="D179" s="9"/>
    </row>
    <row r="180" spans="4:4" ht="13.2">
      <c r="D180" s="9"/>
    </row>
    <row r="181" spans="4:4" ht="13.2">
      <c r="D181" s="9"/>
    </row>
    <row r="182" spans="4:4" ht="13.2">
      <c r="D182" s="9"/>
    </row>
    <row r="183" spans="4:4" ht="13.2">
      <c r="D183" s="9"/>
    </row>
    <row r="184" spans="4:4" ht="13.2">
      <c r="D184" s="9"/>
    </row>
    <row r="185" spans="4:4" ht="13.2">
      <c r="D185" s="9"/>
    </row>
    <row r="186" spans="4:4" ht="13.2">
      <c r="D186" s="9"/>
    </row>
    <row r="187" spans="4:4" ht="13.2">
      <c r="D187" s="9"/>
    </row>
    <row r="188" spans="4:4" ht="13.2">
      <c r="D188" s="9"/>
    </row>
    <row r="189" spans="4:4" ht="13.2">
      <c r="D189" s="9"/>
    </row>
    <row r="190" spans="4:4" ht="13.2">
      <c r="D190" s="9"/>
    </row>
    <row r="191" spans="4:4" ht="13.2">
      <c r="D191" s="9"/>
    </row>
    <row r="192" spans="4:4" ht="13.2">
      <c r="D192" s="9"/>
    </row>
    <row r="193" spans="4:4" ht="13.2">
      <c r="D193" s="9"/>
    </row>
    <row r="194" spans="4:4" ht="13.2">
      <c r="D194" s="9"/>
    </row>
    <row r="195" spans="4:4" ht="13.2">
      <c r="D195" s="9"/>
    </row>
    <row r="196" spans="4:4" ht="13.2">
      <c r="D196" s="9"/>
    </row>
    <row r="197" spans="4:4" ht="13.2">
      <c r="D197" s="9"/>
    </row>
    <row r="198" spans="4:4" ht="13.2">
      <c r="D198" s="9"/>
    </row>
    <row r="199" spans="4:4" ht="13.2">
      <c r="D199" s="9"/>
    </row>
    <row r="200" spans="4:4" ht="13.2">
      <c r="D200" s="9"/>
    </row>
    <row r="201" spans="4:4" ht="13.2">
      <c r="D201" s="9"/>
    </row>
    <row r="202" spans="4:4" ht="13.2">
      <c r="D202" s="9"/>
    </row>
    <row r="203" spans="4:4" ht="13.2">
      <c r="D203" s="9"/>
    </row>
    <row r="204" spans="4:4" ht="13.2">
      <c r="D204" s="9"/>
    </row>
    <row r="205" spans="4:4" ht="13.2">
      <c r="D205" s="9"/>
    </row>
    <row r="206" spans="4:4" ht="13.2">
      <c r="D206" s="9"/>
    </row>
    <row r="207" spans="4:4" ht="13.2">
      <c r="D207" s="9"/>
    </row>
    <row r="208" spans="4:4" ht="13.2">
      <c r="D208" s="9"/>
    </row>
    <row r="209" spans="4:4" ht="13.2">
      <c r="D209" s="9"/>
    </row>
    <row r="210" spans="4:4" ht="13.2">
      <c r="D210" s="9"/>
    </row>
    <row r="211" spans="4:4" ht="13.2">
      <c r="D211" s="9"/>
    </row>
    <row r="212" spans="4:4" ht="13.2">
      <c r="D212" s="9"/>
    </row>
    <row r="213" spans="4:4" ht="13.2">
      <c r="D213" s="9"/>
    </row>
    <row r="214" spans="4:4" ht="13.2">
      <c r="D214" s="9"/>
    </row>
    <row r="215" spans="4:4" ht="13.2">
      <c r="D215" s="9"/>
    </row>
    <row r="216" spans="4:4" ht="13.2">
      <c r="D216" s="9"/>
    </row>
    <row r="217" spans="4:4" ht="13.2">
      <c r="D217" s="9"/>
    </row>
    <row r="218" spans="4:4" ht="13.2">
      <c r="D218" s="9"/>
    </row>
    <row r="219" spans="4:4" ht="13.2">
      <c r="D219" s="9"/>
    </row>
    <row r="220" spans="4:4" ht="13.2">
      <c r="D220" s="9"/>
    </row>
    <row r="221" spans="4:4" ht="13.2">
      <c r="D221" s="9"/>
    </row>
    <row r="222" spans="4:4" ht="13.2">
      <c r="D222" s="9"/>
    </row>
    <row r="223" spans="4:4" ht="13.2">
      <c r="D223" s="9"/>
    </row>
    <row r="224" spans="4:4" ht="13.2">
      <c r="D224" s="9"/>
    </row>
    <row r="225" spans="4:4" ht="13.2">
      <c r="D225" s="9"/>
    </row>
    <row r="226" spans="4:4" ht="13.2">
      <c r="D226" s="9"/>
    </row>
    <row r="227" spans="4:4" ht="13.2">
      <c r="D227" s="9"/>
    </row>
    <row r="228" spans="4:4" ht="13.2">
      <c r="D228" s="9"/>
    </row>
    <row r="229" spans="4:4" ht="13.2">
      <c r="D229" s="9"/>
    </row>
    <row r="230" spans="4:4" ht="13.2">
      <c r="D230" s="9"/>
    </row>
    <row r="231" spans="4:4" ht="13.2">
      <c r="D231" s="9"/>
    </row>
    <row r="232" spans="4:4" ht="13.2">
      <c r="D232" s="9"/>
    </row>
    <row r="233" spans="4:4" ht="13.2">
      <c r="D233" s="9"/>
    </row>
    <row r="234" spans="4:4" ht="13.2">
      <c r="D234" s="9"/>
    </row>
    <row r="235" spans="4:4" ht="13.2">
      <c r="D235" s="9"/>
    </row>
    <row r="236" spans="4:4" ht="13.2">
      <c r="D236" s="9"/>
    </row>
    <row r="237" spans="4:4" ht="13.2">
      <c r="D237" s="9"/>
    </row>
    <row r="238" spans="4:4" ht="13.2">
      <c r="D238" s="9"/>
    </row>
    <row r="239" spans="4:4" ht="13.2">
      <c r="D239" s="9"/>
    </row>
    <row r="240" spans="4:4" ht="13.2">
      <c r="D240" s="9"/>
    </row>
    <row r="241" spans="4:4" ht="13.2">
      <c r="D241" s="9"/>
    </row>
    <row r="242" spans="4:4" ht="13.2">
      <c r="D242" s="9"/>
    </row>
    <row r="243" spans="4:4" ht="13.2">
      <c r="D243" s="9"/>
    </row>
    <row r="244" spans="4:4" ht="13.2">
      <c r="D244" s="9"/>
    </row>
    <row r="245" spans="4:4" ht="13.2">
      <c r="D245" s="9"/>
    </row>
    <row r="246" spans="4:4" ht="13.2">
      <c r="D246" s="9"/>
    </row>
    <row r="247" spans="4:4" ht="13.2">
      <c r="D247" s="9"/>
    </row>
    <row r="248" spans="4:4" ht="13.2">
      <c r="D248" s="9"/>
    </row>
    <row r="249" spans="4:4" ht="13.2">
      <c r="D249" s="9"/>
    </row>
    <row r="250" spans="4:4" ht="13.2">
      <c r="D250" s="9"/>
    </row>
    <row r="251" spans="4:4" ht="13.2">
      <c r="D251" s="9"/>
    </row>
    <row r="252" spans="4:4" ht="13.2">
      <c r="D252" s="9"/>
    </row>
    <row r="253" spans="4:4" ht="13.2">
      <c r="D253" s="9"/>
    </row>
    <row r="254" spans="4:4" ht="13.2">
      <c r="D254" s="9"/>
    </row>
    <row r="255" spans="4:4" ht="13.2">
      <c r="D255" s="9"/>
    </row>
    <row r="256" spans="4:4" ht="13.2">
      <c r="D256" s="9"/>
    </row>
    <row r="257" spans="4:4" ht="13.2">
      <c r="D257" s="9"/>
    </row>
    <row r="258" spans="4:4" ht="13.2">
      <c r="D258" s="9"/>
    </row>
    <row r="259" spans="4:4" ht="13.2">
      <c r="D259" s="9"/>
    </row>
    <row r="260" spans="4:4" ht="13.2">
      <c r="D260" s="9"/>
    </row>
    <row r="261" spans="4:4" ht="13.2">
      <c r="D261" s="9"/>
    </row>
    <row r="262" spans="4:4" ht="13.2">
      <c r="D262" s="9"/>
    </row>
    <row r="263" spans="4:4" ht="13.2">
      <c r="D263" s="9"/>
    </row>
    <row r="264" spans="4:4" ht="13.2">
      <c r="D264" s="9"/>
    </row>
    <row r="265" spans="4:4" ht="13.2">
      <c r="D265" s="9"/>
    </row>
    <row r="266" spans="4:4" ht="13.2">
      <c r="D266" s="9"/>
    </row>
    <row r="267" spans="4:4" ht="13.2">
      <c r="D267" s="9"/>
    </row>
    <row r="268" spans="4:4" ht="13.2">
      <c r="D268" s="9"/>
    </row>
    <row r="269" spans="4:4" ht="13.2">
      <c r="D269" s="9"/>
    </row>
    <row r="270" spans="4:4" ht="13.2">
      <c r="D270" s="9"/>
    </row>
    <row r="271" spans="4:4" ht="13.2">
      <c r="D271" s="9"/>
    </row>
    <row r="272" spans="4:4" ht="13.2">
      <c r="D272" s="9"/>
    </row>
    <row r="273" spans="4:4" ht="13.2">
      <c r="D273" s="9"/>
    </row>
    <row r="274" spans="4:4" ht="13.2">
      <c r="D274" s="9"/>
    </row>
    <row r="275" spans="4:4" ht="13.2">
      <c r="D275" s="9"/>
    </row>
    <row r="276" spans="4:4" ht="13.2">
      <c r="D276" s="9"/>
    </row>
    <row r="277" spans="4:4" ht="13.2">
      <c r="D277" s="9"/>
    </row>
    <row r="278" spans="4:4" ht="13.2">
      <c r="D278" s="9"/>
    </row>
    <row r="279" spans="4:4" ht="13.2">
      <c r="D279" s="9"/>
    </row>
    <row r="280" spans="4:4" ht="13.2">
      <c r="D280" s="9"/>
    </row>
    <row r="281" spans="4:4" ht="13.2">
      <c r="D281" s="9"/>
    </row>
    <row r="282" spans="4:4" ht="13.2">
      <c r="D282" s="9"/>
    </row>
    <row r="283" spans="4:4" ht="13.2">
      <c r="D283" s="9"/>
    </row>
    <row r="284" spans="4:4" ht="13.2">
      <c r="D284" s="9"/>
    </row>
    <row r="285" spans="4:4" ht="13.2">
      <c r="D285" s="9"/>
    </row>
    <row r="286" spans="4:4" ht="13.2">
      <c r="D286" s="9"/>
    </row>
    <row r="287" spans="4:4" ht="13.2">
      <c r="D287" s="9"/>
    </row>
    <row r="288" spans="4:4" ht="13.2">
      <c r="D288" s="9"/>
    </row>
    <row r="289" spans="4:4" ht="13.2">
      <c r="D289" s="9"/>
    </row>
    <row r="290" spans="4:4" ht="13.2">
      <c r="D290" s="9"/>
    </row>
    <row r="291" spans="4:4" ht="13.2">
      <c r="D291" s="9"/>
    </row>
    <row r="292" spans="4:4" ht="13.2">
      <c r="D292" s="9"/>
    </row>
    <row r="293" spans="4:4" ht="13.2">
      <c r="D293" s="9"/>
    </row>
    <row r="294" spans="4:4" ht="13.2">
      <c r="D294" s="9"/>
    </row>
    <row r="295" spans="4:4" ht="13.2">
      <c r="D295" s="9"/>
    </row>
    <row r="296" spans="4:4" ht="13.2">
      <c r="D296" s="9"/>
    </row>
    <row r="297" spans="4:4" ht="13.2">
      <c r="D297" s="9"/>
    </row>
    <row r="298" spans="4:4" ht="13.2">
      <c r="D298" s="9"/>
    </row>
    <row r="299" spans="4:4" ht="13.2">
      <c r="D299" s="9"/>
    </row>
    <row r="300" spans="4:4" ht="13.2">
      <c r="D300" s="9"/>
    </row>
    <row r="301" spans="4:4" ht="13.2">
      <c r="D301" s="9"/>
    </row>
    <row r="302" spans="4:4" ht="13.2">
      <c r="D302" s="9"/>
    </row>
    <row r="303" spans="4:4" ht="13.2">
      <c r="D303" s="9"/>
    </row>
    <row r="304" spans="4:4" ht="13.2">
      <c r="D304" s="9"/>
    </row>
    <row r="305" spans="4:4" ht="13.2">
      <c r="D305" s="9"/>
    </row>
    <row r="306" spans="4:4" ht="13.2">
      <c r="D306" s="9"/>
    </row>
    <row r="307" spans="4:4" ht="13.2">
      <c r="D307" s="9"/>
    </row>
    <row r="308" spans="4:4" ht="13.2">
      <c r="D308" s="9"/>
    </row>
    <row r="309" spans="4:4" ht="13.2">
      <c r="D309" s="9"/>
    </row>
    <row r="310" spans="4:4" ht="13.2">
      <c r="D310" s="9"/>
    </row>
    <row r="311" spans="4:4" ht="13.2">
      <c r="D311" s="9"/>
    </row>
    <row r="312" spans="4:4" ht="13.2">
      <c r="D312" s="9"/>
    </row>
    <row r="313" spans="4:4" ht="13.2">
      <c r="D313" s="9"/>
    </row>
    <row r="314" spans="4:4" ht="13.2">
      <c r="D314" s="9"/>
    </row>
    <row r="315" spans="4:4" ht="13.2">
      <c r="D315" s="9"/>
    </row>
    <row r="316" spans="4:4" ht="13.2">
      <c r="D316" s="9"/>
    </row>
    <row r="317" spans="4:4" ht="13.2">
      <c r="D317" s="9"/>
    </row>
    <row r="318" spans="4:4" ht="13.2">
      <c r="D318" s="9"/>
    </row>
    <row r="319" spans="4:4" ht="13.2">
      <c r="D319" s="9"/>
    </row>
    <row r="320" spans="4:4" ht="13.2">
      <c r="D320" s="9"/>
    </row>
    <row r="321" spans="4:4" ht="13.2">
      <c r="D321" s="9"/>
    </row>
    <row r="322" spans="4:4" ht="13.2">
      <c r="D322" s="9"/>
    </row>
    <row r="323" spans="4:4" ht="13.2">
      <c r="D323" s="9"/>
    </row>
    <row r="324" spans="4:4" ht="13.2">
      <c r="D324" s="9"/>
    </row>
    <row r="325" spans="4:4" ht="13.2">
      <c r="D325" s="9"/>
    </row>
    <row r="326" spans="4:4" ht="13.2">
      <c r="D326" s="9"/>
    </row>
    <row r="327" spans="4:4" ht="13.2">
      <c r="D327" s="9"/>
    </row>
    <row r="328" spans="4:4" ht="13.2">
      <c r="D328" s="9"/>
    </row>
    <row r="329" spans="4:4" ht="13.2">
      <c r="D329" s="9"/>
    </row>
    <row r="330" spans="4:4" ht="13.2">
      <c r="D330" s="9"/>
    </row>
    <row r="331" spans="4:4" ht="13.2">
      <c r="D331" s="9"/>
    </row>
    <row r="332" spans="4:4" ht="13.2">
      <c r="D332" s="9"/>
    </row>
    <row r="333" spans="4:4" ht="13.2">
      <c r="D333" s="9"/>
    </row>
    <row r="334" spans="4:4" ht="13.2">
      <c r="D334" s="9"/>
    </row>
    <row r="335" spans="4:4" ht="13.2">
      <c r="D335" s="9"/>
    </row>
    <row r="336" spans="4:4" ht="13.2">
      <c r="D336" s="9"/>
    </row>
    <row r="337" spans="4:4" ht="13.2">
      <c r="D337" s="9"/>
    </row>
    <row r="338" spans="4:4" ht="13.2">
      <c r="D338" s="9"/>
    </row>
    <row r="339" spans="4:4" ht="13.2">
      <c r="D339" s="9"/>
    </row>
    <row r="340" spans="4:4" ht="13.2">
      <c r="D340" s="9"/>
    </row>
    <row r="341" spans="4:4" ht="13.2">
      <c r="D341" s="9"/>
    </row>
    <row r="342" spans="4:4" ht="13.2">
      <c r="D342" s="9"/>
    </row>
    <row r="343" spans="4:4" ht="13.2">
      <c r="D343" s="9"/>
    </row>
    <row r="344" spans="4:4" ht="13.2">
      <c r="D344" s="9"/>
    </row>
    <row r="345" spans="4:4" ht="13.2">
      <c r="D345" s="9"/>
    </row>
    <row r="346" spans="4:4" ht="13.2">
      <c r="D346" s="9"/>
    </row>
    <row r="347" spans="4:4" ht="13.2">
      <c r="D347" s="9"/>
    </row>
    <row r="348" spans="4:4" ht="13.2">
      <c r="D348" s="9"/>
    </row>
    <row r="349" spans="4:4" ht="13.2">
      <c r="D349" s="9"/>
    </row>
    <row r="350" spans="4:4" ht="13.2">
      <c r="D350" s="9"/>
    </row>
    <row r="351" spans="4:4" ht="13.2">
      <c r="D351" s="9"/>
    </row>
    <row r="352" spans="4:4" ht="13.2">
      <c r="D352" s="9"/>
    </row>
    <row r="353" spans="4:4" ht="13.2">
      <c r="D353" s="9"/>
    </row>
    <row r="354" spans="4:4" ht="13.2">
      <c r="D354" s="9"/>
    </row>
    <row r="355" spans="4:4" ht="13.2">
      <c r="D355" s="9"/>
    </row>
    <row r="356" spans="4:4" ht="13.2">
      <c r="D356" s="9"/>
    </row>
    <row r="357" spans="4:4" ht="13.2">
      <c r="D357" s="9"/>
    </row>
    <row r="358" spans="4:4" ht="13.2">
      <c r="D358" s="9"/>
    </row>
    <row r="359" spans="4:4" ht="13.2">
      <c r="D359" s="9"/>
    </row>
    <row r="360" spans="4:4" ht="13.2">
      <c r="D360" s="9"/>
    </row>
    <row r="361" spans="4:4" ht="13.2">
      <c r="D361" s="9"/>
    </row>
    <row r="362" spans="4:4" ht="13.2">
      <c r="D362" s="9"/>
    </row>
    <row r="363" spans="4:4" ht="13.2">
      <c r="D363" s="9"/>
    </row>
    <row r="364" spans="4:4" ht="13.2">
      <c r="D364" s="9"/>
    </row>
    <row r="365" spans="4:4" ht="13.2">
      <c r="D365" s="9"/>
    </row>
    <row r="366" spans="4:4" ht="13.2">
      <c r="D366" s="9"/>
    </row>
    <row r="367" spans="4:4" ht="13.2">
      <c r="D367" s="9"/>
    </row>
    <row r="368" spans="4:4" ht="13.2">
      <c r="D368" s="9"/>
    </row>
    <row r="369" spans="4:4" ht="13.2">
      <c r="D369" s="9"/>
    </row>
    <row r="370" spans="4:4" ht="13.2">
      <c r="D370" s="9"/>
    </row>
    <row r="371" spans="4:4" ht="13.2">
      <c r="D371" s="9"/>
    </row>
    <row r="372" spans="4:4" ht="13.2">
      <c r="D372" s="9"/>
    </row>
    <row r="373" spans="4:4" ht="13.2">
      <c r="D373" s="9"/>
    </row>
    <row r="374" spans="4:4" ht="13.2">
      <c r="D374" s="9"/>
    </row>
    <row r="375" spans="4:4" ht="13.2">
      <c r="D375" s="9"/>
    </row>
    <row r="376" spans="4:4" ht="13.2">
      <c r="D376" s="9"/>
    </row>
    <row r="377" spans="4:4" ht="13.2">
      <c r="D377" s="9"/>
    </row>
    <row r="378" spans="4:4" ht="13.2">
      <c r="D378" s="9"/>
    </row>
    <row r="379" spans="4:4" ht="13.2">
      <c r="D379" s="9"/>
    </row>
    <row r="380" spans="4:4" ht="13.2">
      <c r="D380" s="9"/>
    </row>
    <row r="381" spans="4:4" ht="13.2">
      <c r="D381" s="9"/>
    </row>
    <row r="382" spans="4:4" ht="13.2">
      <c r="D382" s="9"/>
    </row>
    <row r="383" spans="4:4" ht="13.2">
      <c r="D383" s="9"/>
    </row>
    <row r="384" spans="4:4" ht="13.2">
      <c r="D384" s="9"/>
    </row>
    <row r="385" spans="4:4" ht="13.2">
      <c r="D385" s="9"/>
    </row>
    <row r="386" spans="4:4" ht="13.2">
      <c r="D386" s="9"/>
    </row>
    <row r="387" spans="4:4" ht="13.2">
      <c r="D387" s="9"/>
    </row>
    <row r="388" spans="4:4" ht="13.2">
      <c r="D388" s="9"/>
    </row>
    <row r="389" spans="4:4" ht="13.2">
      <c r="D389" s="9"/>
    </row>
    <row r="390" spans="4:4" ht="13.2">
      <c r="D390" s="9"/>
    </row>
    <row r="391" spans="4:4" ht="13.2">
      <c r="D391" s="9"/>
    </row>
    <row r="392" spans="4:4" ht="13.2">
      <c r="D392" s="9"/>
    </row>
    <row r="393" spans="4:4" ht="13.2">
      <c r="D393" s="9"/>
    </row>
    <row r="394" spans="4:4" ht="13.2">
      <c r="D394" s="9"/>
    </row>
    <row r="395" spans="4:4" ht="13.2">
      <c r="D395" s="9"/>
    </row>
    <row r="396" spans="4:4" ht="13.2">
      <c r="D396" s="9"/>
    </row>
    <row r="397" spans="4:4" ht="13.2">
      <c r="D397" s="9"/>
    </row>
    <row r="398" spans="4:4" ht="13.2">
      <c r="D398" s="9"/>
    </row>
    <row r="399" spans="4:4" ht="13.2">
      <c r="D399" s="9"/>
    </row>
    <row r="400" spans="4:4" ht="13.2">
      <c r="D400" s="9"/>
    </row>
    <row r="401" spans="4:4" ht="13.2">
      <c r="D401" s="9"/>
    </row>
    <row r="402" spans="4:4" ht="13.2">
      <c r="D402" s="9"/>
    </row>
    <row r="403" spans="4:4" ht="13.2">
      <c r="D403" s="9"/>
    </row>
    <row r="404" spans="4:4" ht="13.2">
      <c r="D404" s="9"/>
    </row>
    <row r="405" spans="4:4" ht="13.2">
      <c r="D405" s="9"/>
    </row>
    <row r="406" spans="4:4" ht="13.2">
      <c r="D406" s="9"/>
    </row>
    <row r="407" spans="4:4" ht="13.2">
      <c r="D407" s="9"/>
    </row>
    <row r="408" spans="4:4" ht="13.2">
      <c r="D408" s="9"/>
    </row>
    <row r="409" spans="4:4" ht="13.2">
      <c r="D409" s="9"/>
    </row>
    <row r="410" spans="4:4" ht="13.2">
      <c r="D410" s="9"/>
    </row>
    <row r="411" spans="4:4" ht="13.2">
      <c r="D411" s="9"/>
    </row>
    <row r="412" spans="4:4" ht="13.2">
      <c r="D412" s="9"/>
    </row>
    <row r="413" spans="4:4" ht="13.2">
      <c r="D413" s="9"/>
    </row>
    <row r="414" spans="4:4" ht="13.2">
      <c r="D414" s="9"/>
    </row>
    <row r="415" spans="4:4" ht="13.2">
      <c r="D415" s="9"/>
    </row>
    <row r="416" spans="4:4" ht="13.2">
      <c r="D416" s="9"/>
    </row>
    <row r="417" spans="4:4" ht="13.2">
      <c r="D417" s="9"/>
    </row>
    <row r="418" spans="4:4" ht="13.2">
      <c r="D418" s="9"/>
    </row>
    <row r="419" spans="4:4" ht="13.2">
      <c r="D419" s="9"/>
    </row>
    <row r="420" spans="4:4" ht="13.2">
      <c r="D420" s="9"/>
    </row>
    <row r="421" spans="4:4" ht="13.2">
      <c r="D421" s="9"/>
    </row>
    <row r="422" spans="4:4" ht="13.2">
      <c r="D422" s="9"/>
    </row>
    <row r="423" spans="4:4" ht="13.2">
      <c r="D423" s="9"/>
    </row>
    <row r="424" spans="4:4" ht="13.2">
      <c r="D424" s="9"/>
    </row>
    <row r="425" spans="4:4" ht="13.2">
      <c r="D425" s="9"/>
    </row>
    <row r="426" spans="4:4" ht="13.2">
      <c r="D426" s="9"/>
    </row>
    <row r="427" spans="4:4" ht="13.2">
      <c r="D427" s="9"/>
    </row>
    <row r="428" spans="4:4" ht="13.2">
      <c r="D428" s="9"/>
    </row>
    <row r="429" spans="4:4" ht="13.2">
      <c r="D429" s="9"/>
    </row>
    <row r="430" spans="4:4" ht="13.2">
      <c r="D430" s="9"/>
    </row>
    <row r="431" spans="4:4" ht="13.2">
      <c r="D431" s="9"/>
    </row>
    <row r="432" spans="4:4" ht="13.2">
      <c r="D432" s="9"/>
    </row>
    <row r="433" spans="4:4" ht="13.2">
      <c r="D433" s="9"/>
    </row>
    <row r="434" spans="4:4" ht="13.2">
      <c r="D434" s="9"/>
    </row>
    <row r="435" spans="4:4" ht="13.2">
      <c r="D435" s="9"/>
    </row>
    <row r="436" spans="4:4" ht="13.2">
      <c r="D436" s="9"/>
    </row>
    <row r="437" spans="4:4" ht="13.2">
      <c r="D437" s="9"/>
    </row>
    <row r="438" spans="4:4" ht="13.2">
      <c r="D438" s="9"/>
    </row>
    <row r="439" spans="4:4" ht="13.2">
      <c r="D439" s="9"/>
    </row>
    <row r="440" spans="4:4" ht="13.2">
      <c r="D440" s="9"/>
    </row>
    <row r="441" spans="4:4" ht="13.2">
      <c r="D441" s="9"/>
    </row>
    <row r="442" spans="4:4" ht="13.2">
      <c r="D442" s="9"/>
    </row>
    <row r="443" spans="4:4" ht="13.2">
      <c r="D443" s="9"/>
    </row>
    <row r="444" spans="4:4" ht="13.2">
      <c r="D444" s="9"/>
    </row>
    <row r="445" spans="4:4" ht="13.2">
      <c r="D445" s="9"/>
    </row>
    <row r="446" spans="4:4" ht="13.2">
      <c r="D446" s="9"/>
    </row>
    <row r="447" spans="4:4" ht="13.2">
      <c r="D447" s="9"/>
    </row>
    <row r="448" spans="4:4" ht="13.2">
      <c r="D448" s="9"/>
    </row>
    <row r="449" spans="4:4" ht="13.2">
      <c r="D449" s="9"/>
    </row>
    <row r="450" spans="4:4" ht="13.2">
      <c r="D450" s="9"/>
    </row>
    <row r="451" spans="4:4" ht="13.2">
      <c r="D451" s="9"/>
    </row>
    <row r="452" spans="4:4" ht="13.2">
      <c r="D452" s="9"/>
    </row>
    <row r="453" spans="4:4" ht="13.2">
      <c r="D453" s="9"/>
    </row>
    <row r="454" spans="4:4" ht="13.2">
      <c r="D454" s="9"/>
    </row>
    <row r="455" spans="4:4" ht="13.2">
      <c r="D455" s="9"/>
    </row>
    <row r="456" spans="4:4" ht="13.2">
      <c r="D456" s="9"/>
    </row>
    <row r="457" spans="4:4" ht="13.2">
      <c r="D457" s="9"/>
    </row>
    <row r="458" spans="4:4" ht="13.2">
      <c r="D458" s="9"/>
    </row>
    <row r="459" spans="4:4" ht="13.2">
      <c r="D459" s="9"/>
    </row>
    <row r="460" spans="4:4" ht="13.2">
      <c r="D460" s="9"/>
    </row>
    <row r="461" spans="4:4" ht="13.2">
      <c r="D461" s="9"/>
    </row>
    <row r="462" spans="4:4" ht="13.2">
      <c r="D462" s="9"/>
    </row>
    <row r="463" spans="4:4" ht="13.2">
      <c r="D463" s="9"/>
    </row>
    <row r="464" spans="4:4" ht="13.2">
      <c r="D464" s="9"/>
    </row>
    <row r="465" spans="4:4" ht="13.2">
      <c r="D465" s="9"/>
    </row>
    <row r="466" spans="4:4" ht="13.2">
      <c r="D466" s="9"/>
    </row>
    <row r="467" spans="4:4" ht="13.2">
      <c r="D467" s="9"/>
    </row>
    <row r="468" spans="4:4" ht="13.2">
      <c r="D468" s="9"/>
    </row>
    <row r="469" spans="4:4" ht="13.2">
      <c r="D469" s="9"/>
    </row>
    <row r="470" spans="4:4" ht="13.2">
      <c r="D470" s="9"/>
    </row>
    <row r="471" spans="4:4" ht="13.2">
      <c r="D471" s="9"/>
    </row>
    <row r="472" spans="4:4" ht="13.2">
      <c r="D472" s="9"/>
    </row>
    <row r="473" spans="4:4" ht="13.2">
      <c r="D473" s="9"/>
    </row>
    <row r="474" spans="4:4" ht="13.2">
      <c r="D474" s="9"/>
    </row>
    <row r="475" spans="4:4" ht="13.2">
      <c r="D475" s="9"/>
    </row>
    <row r="476" spans="4:4" ht="13.2">
      <c r="D476" s="9"/>
    </row>
    <row r="477" spans="4:4" ht="13.2">
      <c r="D477" s="9"/>
    </row>
    <row r="478" spans="4:4" ht="13.2">
      <c r="D478" s="9"/>
    </row>
    <row r="479" spans="4:4" ht="13.2">
      <c r="D479" s="9"/>
    </row>
    <row r="480" spans="4:4" ht="13.2">
      <c r="D480" s="9"/>
    </row>
    <row r="481" spans="4:4" ht="13.2">
      <c r="D481" s="9"/>
    </row>
    <row r="482" spans="4:4" ht="13.2">
      <c r="D482" s="9"/>
    </row>
    <row r="483" spans="4:4" ht="13.2">
      <c r="D483" s="9"/>
    </row>
    <row r="484" spans="4:4" ht="13.2">
      <c r="D484" s="9"/>
    </row>
    <row r="485" spans="4:4" ht="13.2">
      <c r="D485" s="9"/>
    </row>
    <row r="486" spans="4:4" ht="13.2">
      <c r="D486" s="9"/>
    </row>
    <row r="487" spans="4:4" ht="13.2">
      <c r="D487" s="9"/>
    </row>
    <row r="488" spans="4:4" ht="13.2">
      <c r="D488" s="9"/>
    </row>
    <row r="489" spans="4:4" ht="13.2">
      <c r="D489" s="9"/>
    </row>
    <row r="490" spans="4:4" ht="13.2">
      <c r="D490" s="9"/>
    </row>
    <row r="491" spans="4:4" ht="13.2">
      <c r="D491" s="9"/>
    </row>
    <row r="492" spans="4:4" ht="13.2">
      <c r="D492" s="9"/>
    </row>
    <row r="493" spans="4:4" ht="13.2">
      <c r="D493" s="9"/>
    </row>
    <row r="494" spans="4:4" ht="13.2">
      <c r="D494" s="9"/>
    </row>
    <row r="495" spans="4:4" ht="13.2">
      <c r="D495" s="9"/>
    </row>
    <row r="496" spans="4:4" ht="13.2">
      <c r="D496" s="9"/>
    </row>
    <row r="497" spans="4:4" ht="13.2">
      <c r="D497" s="9"/>
    </row>
    <row r="498" spans="4:4" ht="13.2">
      <c r="D498" s="9"/>
    </row>
    <row r="499" spans="4:4" ht="13.2">
      <c r="D499" s="9"/>
    </row>
    <row r="500" spans="4:4" ht="13.2">
      <c r="D500" s="9"/>
    </row>
    <row r="501" spans="4:4" ht="13.2">
      <c r="D501" s="9"/>
    </row>
    <row r="502" spans="4:4" ht="13.2">
      <c r="D502" s="9"/>
    </row>
    <row r="503" spans="4:4" ht="13.2">
      <c r="D503" s="9"/>
    </row>
    <row r="504" spans="4:4" ht="13.2">
      <c r="D504" s="9"/>
    </row>
    <row r="505" spans="4:4" ht="13.2">
      <c r="D505" s="9"/>
    </row>
    <row r="506" spans="4:4" ht="13.2">
      <c r="D506" s="9"/>
    </row>
    <row r="507" spans="4:4" ht="13.2">
      <c r="D507" s="9"/>
    </row>
    <row r="508" spans="4:4" ht="13.2">
      <c r="D508" s="9"/>
    </row>
    <row r="509" spans="4:4" ht="13.2">
      <c r="D509" s="9"/>
    </row>
    <row r="510" spans="4:4" ht="13.2">
      <c r="D510" s="9"/>
    </row>
    <row r="511" spans="4:4" ht="13.2">
      <c r="D511" s="9"/>
    </row>
    <row r="512" spans="4:4" ht="13.2">
      <c r="D512" s="9"/>
    </row>
    <row r="513" spans="4:4" ht="13.2">
      <c r="D513" s="9"/>
    </row>
    <row r="514" spans="4:4" ht="13.2">
      <c r="D514" s="9"/>
    </row>
    <row r="515" spans="4:4" ht="13.2">
      <c r="D515" s="9"/>
    </row>
    <row r="516" spans="4:4" ht="13.2">
      <c r="D516" s="9"/>
    </row>
    <row r="517" spans="4:4" ht="13.2">
      <c r="D517" s="9"/>
    </row>
    <row r="518" spans="4:4" ht="13.2">
      <c r="D518" s="9"/>
    </row>
    <row r="519" spans="4:4" ht="13.2">
      <c r="D519" s="9"/>
    </row>
    <row r="520" spans="4:4" ht="13.2">
      <c r="D520" s="9"/>
    </row>
    <row r="521" spans="4:4" ht="13.2">
      <c r="D521" s="9"/>
    </row>
    <row r="522" spans="4:4" ht="13.2">
      <c r="D522" s="9"/>
    </row>
    <row r="523" spans="4:4" ht="13.2">
      <c r="D523" s="9"/>
    </row>
    <row r="524" spans="4:4" ht="13.2">
      <c r="D524" s="9"/>
    </row>
    <row r="525" spans="4:4" ht="13.2">
      <c r="D525" s="9"/>
    </row>
    <row r="526" spans="4:4" ht="13.2">
      <c r="D526" s="9"/>
    </row>
    <row r="527" spans="4:4" ht="13.2">
      <c r="D527" s="9"/>
    </row>
    <row r="528" spans="4:4" ht="13.2">
      <c r="D528" s="9"/>
    </row>
    <row r="529" spans="4:4" ht="13.2">
      <c r="D529" s="9"/>
    </row>
    <row r="530" spans="4:4" ht="13.2">
      <c r="D530" s="9"/>
    </row>
    <row r="531" spans="4:4" ht="13.2">
      <c r="D531" s="9"/>
    </row>
    <row r="532" spans="4:4" ht="13.2">
      <c r="D532" s="9"/>
    </row>
    <row r="533" spans="4:4" ht="13.2">
      <c r="D533" s="9"/>
    </row>
    <row r="534" spans="4:4" ht="13.2">
      <c r="D534" s="9"/>
    </row>
    <row r="535" spans="4:4" ht="13.2">
      <c r="D535" s="9"/>
    </row>
    <row r="536" spans="4:4" ht="13.2">
      <c r="D536" s="9"/>
    </row>
    <row r="537" spans="4:4" ht="13.2">
      <c r="D537" s="9"/>
    </row>
    <row r="538" spans="4:4" ht="13.2">
      <c r="D538" s="9"/>
    </row>
    <row r="539" spans="4:4" ht="13.2">
      <c r="D539" s="9"/>
    </row>
    <row r="540" spans="4:4" ht="13.2">
      <c r="D540" s="9"/>
    </row>
    <row r="541" spans="4:4" ht="13.2">
      <c r="D541" s="9"/>
    </row>
    <row r="542" spans="4:4" ht="13.2">
      <c r="D542" s="9"/>
    </row>
    <row r="543" spans="4:4" ht="13.2">
      <c r="D543" s="9"/>
    </row>
    <row r="544" spans="4:4" ht="13.2">
      <c r="D544" s="9"/>
    </row>
    <row r="545" spans="4:4" ht="13.2">
      <c r="D545" s="9"/>
    </row>
    <row r="546" spans="4:4" ht="13.2">
      <c r="D546" s="9"/>
    </row>
    <row r="547" spans="4:4" ht="13.2">
      <c r="D547" s="9"/>
    </row>
    <row r="548" spans="4:4" ht="13.2">
      <c r="D548" s="9"/>
    </row>
    <row r="549" spans="4:4" ht="13.2">
      <c r="D549" s="9"/>
    </row>
    <row r="550" spans="4:4" ht="13.2">
      <c r="D550" s="9"/>
    </row>
    <row r="551" spans="4:4" ht="13.2">
      <c r="D551" s="9"/>
    </row>
    <row r="552" spans="4:4" ht="13.2">
      <c r="D552" s="9"/>
    </row>
    <row r="553" spans="4:4" ht="13.2">
      <c r="D553" s="9"/>
    </row>
    <row r="554" spans="4:4" ht="13.2">
      <c r="D554" s="9"/>
    </row>
    <row r="555" spans="4:4" ht="13.2">
      <c r="D555" s="9"/>
    </row>
    <row r="556" spans="4:4" ht="13.2">
      <c r="D556" s="9"/>
    </row>
    <row r="557" spans="4:4" ht="13.2">
      <c r="D557" s="9"/>
    </row>
    <row r="558" spans="4:4" ht="13.2">
      <c r="D558" s="9"/>
    </row>
    <row r="559" spans="4:4" ht="13.2">
      <c r="D559" s="9"/>
    </row>
    <row r="560" spans="4:4" ht="13.2">
      <c r="D560" s="9"/>
    </row>
    <row r="561" spans="4:4" ht="13.2">
      <c r="D561" s="9"/>
    </row>
    <row r="562" spans="4:4" ht="13.2">
      <c r="D562" s="9"/>
    </row>
    <row r="563" spans="4:4" ht="13.2">
      <c r="D563" s="9"/>
    </row>
    <row r="564" spans="4:4" ht="13.2">
      <c r="D564" s="9"/>
    </row>
    <row r="565" spans="4:4" ht="13.2">
      <c r="D565" s="9"/>
    </row>
    <row r="566" spans="4:4" ht="13.2">
      <c r="D566" s="9"/>
    </row>
    <row r="567" spans="4:4" ht="13.2">
      <c r="D567" s="9"/>
    </row>
    <row r="568" spans="4:4" ht="13.2">
      <c r="D568" s="9"/>
    </row>
    <row r="569" spans="4:4" ht="13.2">
      <c r="D569" s="9"/>
    </row>
    <row r="570" spans="4:4" ht="13.2">
      <c r="D570" s="9"/>
    </row>
    <row r="571" spans="4:4" ht="13.2">
      <c r="D571" s="9"/>
    </row>
    <row r="572" spans="4:4" ht="13.2">
      <c r="D572" s="9"/>
    </row>
    <row r="573" spans="4:4" ht="13.2">
      <c r="D573" s="9"/>
    </row>
    <row r="574" spans="4:4" ht="13.2">
      <c r="D574" s="9"/>
    </row>
    <row r="575" spans="4:4" ht="13.2">
      <c r="D575" s="9"/>
    </row>
    <row r="576" spans="4:4" ht="13.2">
      <c r="D576" s="9"/>
    </row>
    <row r="577" spans="4:4" ht="13.2">
      <c r="D577" s="9"/>
    </row>
    <row r="578" spans="4:4" ht="13.2">
      <c r="D578" s="9"/>
    </row>
    <row r="579" spans="4:4" ht="13.2">
      <c r="D579" s="9"/>
    </row>
    <row r="580" spans="4:4" ht="13.2">
      <c r="D580" s="9"/>
    </row>
    <row r="581" spans="4:4" ht="13.2">
      <c r="D581" s="9"/>
    </row>
    <row r="582" spans="4:4" ht="13.2">
      <c r="D582" s="9"/>
    </row>
    <row r="583" spans="4:4" ht="13.2">
      <c r="D583" s="9"/>
    </row>
    <row r="584" spans="4:4" ht="13.2">
      <c r="D584" s="9"/>
    </row>
    <row r="585" spans="4:4" ht="13.2">
      <c r="D585" s="9"/>
    </row>
    <row r="586" spans="4:4" ht="13.2">
      <c r="D586" s="9"/>
    </row>
    <row r="587" spans="4:4" ht="13.2">
      <c r="D587" s="9"/>
    </row>
    <row r="588" spans="4:4" ht="13.2">
      <c r="D588" s="9"/>
    </row>
    <row r="589" spans="4:4" ht="13.2">
      <c r="D589" s="9"/>
    </row>
    <row r="590" spans="4:4" ht="13.2">
      <c r="D590" s="9"/>
    </row>
    <row r="591" spans="4:4" ht="13.2">
      <c r="D591" s="9"/>
    </row>
    <row r="592" spans="4:4" ht="13.2">
      <c r="D592" s="9"/>
    </row>
    <row r="593" spans="4:4" ht="13.2">
      <c r="D593" s="9"/>
    </row>
    <row r="594" spans="4:4" ht="13.2">
      <c r="D594" s="9"/>
    </row>
    <row r="595" spans="4:4" ht="13.2">
      <c r="D595" s="9"/>
    </row>
    <row r="596" spans="4:4" ht="13.2">
      <c r="D596" s="9"/>
    </row>
    <row r="597" spans="4:4" ht="13.2">
      <c r="D597" s="9"/>
    </row>
    <row r="598" spans="4:4" ht="13.2">
      <c r="D598" s="9"/>
    </row>
    <row r="599" spans="4:4" ht="13.2">
      <c r="D599" s="9"/>
    </row>
    <row r="600" spans="4:4" ht="13.2">
      <c r="D600" s="9"/>
    </row>
    <row r="601" spans="4:4" ht="13.2">
      <c r="D601" s="9"/>
    </row>
    <row r="602" spans="4:4" ht="13.2">
      <c r="D602" s="9"/>
    </row>
    <row r="603" spans="4:4" ht="13.2">
      <c r="D603" s="9"/>
    </row>
    <row r="604" spans="4:4" ht="13.2">
      <c r="D604" s="9"/>
    </row>
    <row r="605" spans="4:4" ht="13.2">
      <c r="D605" s="9"/>
    </row>
    <row r="606" spans="4:4" ht="13.2">
      <c r="D606" s="9"/>
    </row>
    <row r="607" spans="4:4" ht="13.2">
      <c r="D607" s="9"/>
    </row>
    <row r="608" spans="4:4" ht="13.2">
      <c r="D608" s="9"/>
    </row>
    <row r="609" spans="4:4" ht="13.2">
      <c r="D609" s="9"/>
    </row>
    <row r="610" spans="4:4" ht="13.2">
      <c r="D610" s="9"/>
    </row>
    <row r="611" spans="4:4" ht="13.2">
      <c r="D611" s="9"/>
    </row>
    <row r="612" spans="4:4" ht="13.2">
      <c r="D612" s="9"/>
    </row>
    <row r="613" spans="4:4" ht="13.2">
      <c r="D613" s="9"/>
    </row>
    <row r="614" spans="4:4" ht="13.2">
      <c r="D614" s="9"/>
    </row>
    <row r="615" spans="4:4" ht="13.2">
      <c r="D615" s="9"/>
    </row>
    <row r="616" spans="4:4" ht="13.2">
      <c r="D616" s="9"/>
    </row>
    <row r="617" spans="4:4" ht="13.2">
      <c r="D617" s="9"/>
    </row>
    <row r="618" spans="4:4" ht="13.2">
      <c r="D618" s="9"/>
    </row>
    <row r="619" spans="4:4" ht="13.2">
      <c r="D619" s="9"/>
    </row>
    <row r="620" spans="4:4" ht="13.2">
      <c r="D620" s="9"/>
    </row>
    <row r="621" spans="4:4" ht="13.2">
      <c r="D621" s="9"/>
    </row>
    <row r="622" spans="4:4" ht="13.2">
      <c r="D622" s="9"/>
    </row>
    <row r="623" spans="4:4" ht="13.2">
      <c r="D623" s="9"/>
    </row>
    <row r="624" spans="4:4" ht="13.2">
      <c r="D624" s="9"/>
    </row>
    <row r="625" spans="4:4" ht="13.2">
      <c r="D625" s="9"/>
    </row>
    <row r="626" spans="4:4" ht="13.2">
      <c r="D626" s="9"/>
    </row>
    <row r="627" spans="4:4" ht="13.2">
      <c r="D627" s="9"/>
    </row>
    <row r="628" spans="4:4" ht="13.2">
      <c r="D628" s="9"/>
    </row>
    <row r="629" spans="4:4" ht="13.2">
      <c r="D629" s="9"/>
    </row>
    <row r="630" spans="4:4" ht="13.2">
      <c r="D630" s="9"/>
    </row>
    <row r="631" spans="4:4" ht="13.2">
      <c r="D631" s="9"/>
    </row>
    <row r="632" spans="4:4" ht="13.2">
      <c r="D632" s="9"/>
    </row>
    <row r="633" spans="4:4" ht="13.2">
      <c r="D633" s="9"/>
    </row>
    <row r="634" spans="4:4" ht="13.2">
      <c r="D634" s="9"/>
    </row>
    <row r="635" spans="4:4" ht="13.2">
      <c r="D635" s="9"/>
    </row>
    <row r="636" spans="4:4" ht="13.2">
      <c r="D636" s="9"/>
    </row>
    <row r="637" spans="4:4" ht="13.2">
      <c r="D637" s="9"/>
    </row>
    <row r="638" spans="4:4" ht="13.2">
      <c r="D638" s="9"/>
    </row>
    <row r="639" spans="4:4" ht="13.2">
      <c r="D639" s="9"/>
    </row>
    <row r="640" spans="4:4" ht="13.2">
      <c r="D640" s="9"/>
    </row>
    <row r="641" spans="4:4" ht="13.2">
      <c r="D641" s="9"/>
    </row>
    <row r="642" spans="4:4" ht="13.2">
      <c r="D642" s="9"/>
    </row>
    <row r="643" spans="4:4" ht="13.2">
      <c r="D643" s="9"/>
    </row>
    <row r="644" spans="4:4" ht="13.2">
      <c r="D644" s="9"/>
    </row>
    <row r="645" spans="4:4" ht="13.2">
      <c r="D645" s="9"/>
    </row>
    <row r="646" spans="4:4" ht="13.2">
      <c r="D646" s="9"/>
    </row>
    <row r="647" spans="4:4" ht="13.2">
      <c r="D647" s="9"/>
    </row>
    <row r="648" spans="4:4" ht="13.2">
      <c r="D648" s="9"/>
    </row>
    <row r="649" spans="4:4" ht="13.2">
      <c r="D649" s="9"/>
    </row>
    <row r="650" spans="4:4" ht="13.2">
      <c r="D650" s="9"/>
    </row>
    <row r="651" spans="4:4" ht="13.2">
      <c r="D651" s="9"/>
    </row>
    <row r="652" spans="4:4" ht="13.2">
      <c r="D652" s="9"/>
    </row>
    <row r="653" spans="4:4" ht="13.2">
      <c r="D653" s="9"/>
    </row>
    <row r="654" spans="4:4" ht="13.2">
      <c r="D654" s="9"/>
    </row>
    <row r="655" spans="4:4" ht="13.2">
      <c r="D655" s="9"/>
    </row>
    <row r="656" spans="4:4" ht="13.2">
      <c r="D656" s="9"/>
    </row>
    <row r="657" spans="4:4" ht="13.2">
      <c r="D657" s="9"/>
    </row>
    <row r="658" spans="4:4" ht="13.2">
      <c r="D658" s="9"/>
    </row>
    <row r="659" spans="4:4" ht="13.2">
      <c r="D659" s="9"/>
    </row>
    <row r="660" spans="4:4" ht="13.2">
      <c r="D660" s="9"/>
    </row>
    <row r="661" spans="4:4" ht="13.2">
      <c r="D661" s="9"/>
    </row>
    <row r="662" spans="4:4" ht="13.2">
      <c r="D662" s="9"/>
    </row>
    <row r="663" spans="4:4" ht="13.2">
      <c r="D663" s="9"/>
    </row>
    <row r="664" spans="4:4" ht="13.2">
      <c r="D664" s="9"/>
    </row>
    <row r="665" spans="4:4" ht="13.2">
      <c r="D665" s="9"/>
    </row>
    <row r="666" spans="4:4" ht="13.2">
      <c r="D666" s="9"/>
    </row>
    <row r="667" spans="4:4" ht="13.2">
      <c r="D667" s="9"/>
    </row>
    <row r="668" spans="4:4" ht="13.2">
      <c r="D668" s="9"/>
    </row>
    <row r="669" spans="4:4" ht="13.2">
      <c r="D669" s="9"/>
    </row>
    <row r="670" spans="4:4" ht="13.2">
      <c r="D670" s="9"/>
    </row>
    <row r="671" spans="4:4" ht="13.2">
      <c r="D671" s="9"/>
    </row>
    <row r="672" spans="4:4" ht="13.2">
      <c r="D672" s="9"/>
    </row>
    <row r="673" spans="4:4" ht="13.2">
      <c r="D673" s="9"/>
    </row>
    <row r="674" spans="4:4" ht="13.2">
      <c r="D674" s="9"/>
    </row>
    <row r="675" spans="4:4" ht="13.2">
      <c r="D675" s="9"/>
    </row>
    <row r="676" spans="4:4" ht="13.2">
      <c r="D676" s="9"/>
    </row>
    <row r="677" spans="4:4" ht="13.2">
      <c r="D677" s="9"/>
    </row>
    <row r="678" spans="4:4" ht="13.2">
      <c r="D678" s="9"/>
    </row>
    <row r="679" spans="4:4" ht="13.2">
      <c r="D679" s="9"/>
    </row>
    <row r="680" spans="4:4" ht="13.2">
      <c r="D680" s="9"/>
    </row>
    <row r="681" spans="4:4" ht="13.2">
      <c r="D681" s="9"/>
    </row>
    <row r="682" spans="4:4" ht="13.2">
      <c r="D682" s="9"/>
    </row>
    <row r="683" spans="4:4" ht="13.2">
      <c r="D683" s="9"/>
    </row>
    <row r="684" spans="4:4" ht="13.2">
      <c r="D684" s="9"/>
    </row>
    <row r="685" spans="4:4" ht="13.2">
      <c r="D685" s="9"/>
    </row>
    <row r="686" spans="4:4" ht="13.2">
      <c r="D686" s="9"/>
    </row>
    <row r="687" spans="4:4" ht="13.2">
      <c r="D687" s="9"/>
    </row>
    <row r="688" spans="4:4" ht="13.2">
      <c r="D688" s="9"/>
    </row>
    <row r="689" spans="4:4" ht="13.2">
      <c r="D689" s="9"/>
    </row>
    <row r="690" spans="4:4" ht="13.2">
      <c r="D690" s="9"/>
    </row>
    <row r="691" spans="4:4" ht="13.2">
      <c r="D691" s="9"/>
    </row>
    <row r="692" spans="4:4" ht="13.2">
      <c r="D692" s="9"/>
    </row>
    <row r="693" spans="4:4" ht="13.2">
      <c r="D693" s="9"/>
    </row>
    <row r="694" spans="4:4" ht="13.2">
      <c r="D694" s="9"/>
    </row>
    <row r="695" spans="4:4" ht="13.2">
      <c r="D695" s="9"/>
    </row>
    <row r="696" spans="4:4" ht="13.2">
      <c r="D696" s="9"/>
    </row>
    <row r="697" spans="4:4" ht="13.2">
      <c r="D697" s="9"/>
    </row>
    <row r="698" spans="4:4" ht="13.2">
      <c r="D698" s="9"/>
    </row>
    <row r="699" spans="4:4" ht="13.2">
      <c r="D699" s="9"/>
    </row>
    <row r="700" spans="4:4" ht="13.2">
      <c r="D700" s="9"/>
    </row>
    <row r="701" spans="4:4" ht="13.2">
      <c r="D701" s="9"/>
    </row>
    <row r="702" spans="4:4" ht="13.2">
      <c r="D702" s="9"/>
    </row>
    <row r="703" spans="4:4" ht="13.2">
      <c r="D703" s="9"/>
    </row>
    <row r="704" spans="4:4" ht="13.2">
      <c r="D704" s="9"/>
    </row>
    <row r="705" spans="4:4" ht="13.2">
      <c r="D705" s="9"/>
    </row>
    <row r="706" spans="4:4" ht="13.2">
      <c r="D706" s="9"/>
    </row>
    <row r="707" spans="4:4" ht="13.2">
      <c r="D707" s="9"/>
    </row>
    <row r="708" spans="4:4" ht="13.2">
      <c r="D708" s="9"/>
    </row>
    <row r="709" spans="4:4" ht="13.2">
      <c r="D709" s="9"/>
    </row>
    <row r="710" spans="4:4" ht="13.2">
      <c r="D710" s="9"/>
    </row>
    <row r="711" spans="4:4" ht="13.2">
      <c r="D711" s="9"/>
    </row>
    <row r="712" spans="4:4" ht="13.2">
      <c r="D712" s="9"/>
    </row>
    <row r="713" spans="4:4" ht="13.2">
      <c r="D713" s="9"/>
    </row>
    <row r="714" spans="4:4" ht="13.2">
      <c r="D714" s="9"/>
    </row>
    <row r="715" spans="4:4" ht="13.2">
      <c r="D715" s="9"/>
    </row>
    <row r="716" spans="4:4" ht="13.2">
      <c r="D716" s="9"/>
    </row>
    <row r="717" spans="4:4" ht="13.2">
      <c r="D717" s="9"/>
    </row>
    <row r="718" spans="4:4" ht="13.2">
      <c r="D718" s="9"/>
    </row>
    <row r="719" spans="4:4" ht="13.2">
      <c r="D719" s="9"/>
    </row>
    <row r="720" spans="4:4" ht="13.2">
      <c r="D720" s="9"/>
    </row>
    <row r="721" spans="4:4" ht="13.2">
      <c r="D721" s="9"/>
    </row>
    <row r="722" spans="4:4" ht="13.2">
      <c r="D722" s="9"/>
    </row>
    <row r="723" spans="4:4" ht="13.2">
      <c r="D723" s="9"/>
    </row>
    <row r="724" spans="4:4" ht="13.2">
      <c r="D724" s="9"/>
    </row>
    <row r="725" spans="4:4" ht="13.2">
      <c r="D725" s="9"/>
    </row>
    <row r="726" spans="4:4" ht="13.2">
      <c r="D726" s="9"/>
    </row>
    <row r="727" spans="4:4" ht="13.2">
      <c r="D727" s="9"/>
    </row>
    <row r="728" spans="4:4" ht="13.2">
      <c r="D728" s="9"/>
    </row>
    <row r="729" spans="4:4" ht="13.2">
      <c r="D729" s="9"/>
    </row>
    <row r="730" spans="4:4" ht="13.2">
      <c r="D730" s="9"/>
    </row>
    <row r="731" spans="4:4" ht="13.2">
      <c r="D731" s="9"/>
    </row>
    <row r="732" spans="4:4" ht="13.2">
      <c r="D732" s="9"/>
    </row>
    <row r="733" spans="4:4" ht="13.2">
      <c r="D733" s="9"/>
    </row>
    <row r="734" spans="4:4" ht="13.2">
      <c r="D734" s="9"/>
    </row>
    <row r="735" spans="4:4" ht="13.2">
      <c r="D735" s="9"/>
    </row>
    <row r="736" spans="4:4" ht="13.2">
      <c r="D736" s="9"/>
    </row>
    <row r="737" spans="4:4" ht="13.2">
      <c r="D737" s="9"/>
    </row>
    <row r="738" spans="4:4" ht="13.2">
      <c r="D738" s="9"/>
    </row>
    <row r="739" spans="4:4" ht="13.2">
      <c r="D739" s="9"/>
    </row>
    <row r="740" spans="4:4" ht="13.2">
      <c r="D740" s="9"/>
    </row>
    <row r="741" spans="4:4" ht="13.2">
      <c r="D741" s="9"/>
    </row>
    <row r="742" spans="4:4" ht="13.2">
      <c r="D742" s="9"/>
    </row>
    <row r="743" spans="4:4" ht="13.2">
      <c r="D743" s="9"/>
    </row>
    <row r="744" spans="4:4" ht="13.2">
      <c r="D744" s="9"/>
    </row>
    <row r="745" spans="4:4" ht="13.2">
      <c r="D745" s="9"/>
    </row>
    <row r="746" spans="4:4" ht="13.2">
      <c r="D746" s="9"/>
    </row>
    <row r="747" spans="4:4" ht="13.2">
      <c r="D747" s="9"/>
    </row>
    <row r="748" spans="4:4" ht="13.2">
      <c r="D748" s="9"/>
    </row>
    <row r="749" spans="4:4" ht="13.2">
      <c r="D749" s="9"/>
    </row>
    <row r="750" spans="4:4" ht="13.2">
      <c r="D750" s="9"/>
    </row>
    <row r="751" spans="4:4" ht="13.2">
      <c r="D751" s="9"/>
    </row>
    <row r="752" spans="4:4" ht="13.2">
      <c r="D752" s="9"/>
    </row>
    <row r="753" spans="4:4" ht="13.2">
      <c r="D753" s="9"/>
    </row>
    <row r="754" spans="4:4" ht="13.2">
      <c r="D754" s="9"/>
    </row>
    <row r="755" spans="4:4" ht="13.2">
      <c r="D755" s="9"/>
    </row>
    <row r="756" spans="4:4" ht="13.2">
      <c r="D756" s="9"/>
    </row>
    <row r="757" spans="4:4" ht="13.2">
      <c r="D757" s="9"/>
    </row>
    <row r="758" spans="4:4" ht="13.2">
      <c r="D758" s="9"/>
    </row>
    <row r="759" spans="4:4" ht="13.2">
      <c r="D759" s="9"/>
    </row>
    <row r="760" spans="4:4" ht="13.2">
      <c r="D760" s="9"/>
    </row>
    <row r="761" spans="4:4" ht="13.2">
      <c r="D761" s="9"/>
    </row>
    <row r="762" spans="4:4" ht="13.2">
      <c r="D762" s="9"/>
    </row>
    <row r="763" spans="4:4" ht="13.2">
      <c r="D763" s="9"/>
    </row>
    <row r="764" spans="4:4" ht="13.2">
      <c r="D764" s="9"/>
    </row>
    <row r="765" spans="4:4" ht="13.2">
      <c r="D765" s="9"/>
    </row>
    <row r="766" spans="4:4" ht="13.2">
      <c r="D766" s="9"/>
    </row>
    <row r="767" spans="4:4" ht="13.2">
      <c r="D767" s="9"/>
    </row>
    <row r="768" spans="4:4" ht="13.2">
      <c r="D768" s="9"/>
    </row>
    <row r="769" spans="4:4" ht="13.2">
      <c r="D769" s="9"/>
    </row>
    <row r="770" spans="4:4" ht="13.2">
      <c r="D770" s="9"/>
    </row>
    <row r="771" spans="4:4" ht="13.2">
      <c r="D771" s="9"/>
    </row>
    <row r="772" spans="4:4" ht="13.2">
      <c r="D772" s="9"/>
    </row>
    <row r="773" spans="4:4" ht="13.2">
      <c r="D773" s="9"/>
    </row>
    <row r="774" spans="4:4" ht="13.2">
      <c r="D774" s="9"/>
    </row>
    <row r="775" spans="4:4" ht="13.2">
      <c r="D775" s="9"/>
    </row>
    <row r="776" spans="4:4" ht="13.2">
      <c r="D776" s="9"/>
    </row>
    <row r="777" spans="4:4" ht="13.2">
      <c r="D777" s="9"/>
    </row>
    <row r="778" spans="4:4" ht="13.2">
      <c r="D778" s="9"/>
    </row>
    <row r="779" spans="4:4" ht="13.2">
      <c r="D779" s="9"/>
    </row>
    <row r="780" spans="4:4" ht="13.2">
      <c r="D780" s="9"/>
    </row>
    <row r="781" spans="4:4" ht="13.2">
      <c r="D781" s="9"/>
    </row>
    <row r="782" spans="4:4" ht="13.2">
      <c r="D782" s="9"/>
    </row>
    <row r="783" spans="4:4" ht="13.2">
      <c r="D783" s="9"/>
    </row>
    <row r="784" spans="4:4" ht="13.2">
      <c r="D784" s="9"/>
    </row>
    <row r="785" spans="4:4" ht="13.2">
      <c r="D785" s="9"/>
    </row>
    <row r="786" spans="4:4" ht="13.2">
      <c r="D786" s="9"/>
    </row>
    <row r="787" spans="4:4" ht="13.2">
      <c r="D787" s="9"/>
    </row>
    <row r="788" spans="4:4" ht="13.2">
      <c r="D788" s="9"/>
    </row>
    <row r="789" spans="4:4" ht="13.2">
      <c r="D789" s="9"/>
    </row>
    <row r="790" spans="4:4" ht="13.2">
      <c r="D790" s="9"/>
    </row>
    <row r="791" spans="4:4" ht="13.2">
      <c r="D791" s="9"/>
    </row>
    <row r="792" spans="4:4" ht="13.2">
      <c r="D792" s="9"/>
    </row>
    <row r="793" spans="4:4" ht="13.2">
      <c r="D793" s="9"/>
    </row>
    <row r="794" spans="4:4" ht="13.2">
      <c r="D794" s="9"/>
    </row>
    <row r="795" spans="4:4" ht="13.2">
      <c r="D795" s="9"/>
    </row>
    <row r="796" spans="4:4" ht="13.2">
      <c r="D796" s="9"/>
    </row>
    <row r="797" spans="4:4" ht="13.2">
      <c r="D797" s="9"/>
    </row>
    <row r="798" spans="4:4" ht="13.2">
      <c r="D798" s="9"/>
    </row>
    <row r="799" spans="4:4" ht="13.2">
      <c r="D799" s="9"/>
    </row>
    <row r="800" spans="4:4" ht="13.2">
      <c r="D800" s="9"/>
    </row>
    <row r="801" spans="4:4" ht="13.2">
      <c r="D801" s="9"/>
    </row>
    <row r="802" spans="4:4" ht="13.2">
      <c r="D802" s="9"/>
    </row>
    <row r="803" spans="4:4" ht="13.2">
      <c r="D803" s="9"/>
    </row>
    <row r="804" spans="4:4" ht="13.2">
      <c r="D804" s="9"/>
    </row>
    <row r="805" spans="4:4" ht="13.2">
      <c r="D805" s="9"/>
    </row>
    <row r="806" spans="4:4" ht="13.2">
      <c r="D806" s="9"/>
    </row>
    <row r="807" spans="4:4" ht="13.2">
      <c r="D807" s="9"/>
    </row>
    <row r="808" spans="4:4" ht="13.2">
      <c r="D808" s="9"/>
    </row>
    <row r="809" spans="4:4" ht="13.2">
      <c r="D809" s="9"/>
    </row>
    <row r="810" spans="4:4" ht="13.2">
      <c r="D810" s="9"/>
    </row>
    <row r="811" spans="4:4" ht="13.2">
      <c r="D811" s="9"/>
    </row>
    <row r="812" spans="4:4" ht="13.2">
      <c r="D812" s="9"/>
    </row>
    <row r="813" spans="4:4" ht="13.2">
      <c r="D813" s="9"/>
    </row>
    <row r="814" spans="4:4" ht="13.2">
      <c r="D814" s="9"/>
    </row>
    <row r="815" spans="4:4" ht="13.2">
      <c r="D815" s="9"/>
    </row>
    <row r="816" spans="4:4" ht="13.2">
      <c r="D816" s="9"/>
    </row>
    <row r="817" spans="4:4" ht="13.2">
      <c r="D817" s="9"/>
    </row>
    <row r="818" spans="4:4" ht="13.2">
      <c r="D818" s="9"/>
    </row>
    <row r="819" spans="4:4" ht="13.2">
      <c r="D819" s="9"/>
    </row>
    <row r="820" spans="4:4" ht="13.2">
      <c r="D820" s="9"/>
    </row>
    <row r="821" spans="4:4" ht="13.2">
      <c r="D821" s="9"/>
    </row>
    <row r="822" spans="4:4" ht="13.2">
      <c r="D822" s="9"/>
    </row>
    <row r="823" spans="4:4" ht="13.2">
      <c r="D823" s="9"/>
    </row>
    <row r="824" spans="4:4" ht="13.2">
      <c r="D824" s="9"/>
    </row>
    <row r="825" spans="4:4" ht="13.2">
      <c r="D825" s="9"/>
    </row>
    <row r="826" spans="4:4" ht="13.2">
      <c r="D826" s="9"/>
    </row>
    <row r="827" spans="4:4" ht="13.2">
      <c r="D827" s="9"/>
    </row>
    <row r="828" spans="4:4" ht="13.2">
      <c r="D828" s="9"/>
    </row>
    <row r="829" spans="4:4" ht="13.2">
      <c r="D829" s="9"/>
    </row>
    <row r="830" spans="4:4" ht="13.2">
      <c r="D830" s="9"/>
    </row>
    <row r="831" spans="4:4" ht="13.2">
      <c r="D831" s="9"/>
    </row>
    <row r="832" spans="4:4" ht="13.2">
      <c r="D832" s="9"/>
    </row>
    <row r="833" spans="4:4" ht="13.2">
      <c r="D833" s="9"/>
    </row>
    <row r="834" spans="4:4" ht="13.2">
      <c r="D834" s="9"/>
    </row>
    <row r="835" spans="4:4" ht="13.2">
      <c r="D835" s="9"/>
    </row>
    <row r="836" spans="4:4" ht="13.2">
      <c r="D836" s="9"/>
    </row>
    <row r="837" spans="4:4" ht="13.2">
      <c r="D837" s="9"/>
    </row>
    <row r="838" spans="4:4" ht="13.2">
      <c r="D838" s="9"/>
    </row>
    <row r="839" spans="4:4" ht="13.2">
      <c r="D839" s="9"/>
    </row>
    <row r="840" spans="4:4" ht="13.2">
      <c r="D840" s="9"/>
    </row>
    <row r="841" spans="4:4" ht="13.2">
      <c r="D841" s="9"/>
    </row>
    <row r="842" spans="4:4" ht="13.2">
      <c r="D842" s="9"/>
    </row>
    <row r="843" spans="4:4" ht="13.2">
      <c r="D843" s="9"/>
    </row>
    <row r="844" spans="4:4" ht="13.2">
      <c r="D844" s="9"/>
    </row>
    <row r="845" spans="4:4" ht="13.2">
      <c r="D845" s="9"/>
    </row>
    <row r="846" spans="4:4" ht="13.2">
      <c r="D846" s="9"/>
    </row>
    <row r="847" spans="4:4" ht="13.2">
      <c r="D847" s="9"/>
    </row>
    <row r="848" spans="4:4" ht="13.2">
      <c r="D848" s="9"/>
    </row>
    <row r="849" spans="4:4" ht="13.2">
      <c r="D849" s="9"/>
    </row>
    <row r="850" spans="4:4" ht="13.2">
      <c r="D850" s="9"/>
    </row>
    <row r="851" spans="4:4" ht="13.2">
      <c r="D851" s="9"/>
    </row>
    <row r="852" spans="4:4" ht="13.2">
      <c r="D852" s="9"/>
    </row>
    <row r="853" spans="4:4" ht="13.2">
      <c r="D853" s="9"/>
    </row>
    <row r="854" spans="4:4" ht="13.2">
      <c r="D854" s="9"/>
    </row>
    <row r="855" spans="4:4" ht="13.2">
      <c r="D855" s="9"/>
    </row>
    <row r="856" spans="4:4" ht="13.2">
      <c r="D856" s="9"/>
    </row>
    <row r="857" spans="4:4" ht="13.2">
      <c r="D857" s="9"/>
    </row>
    <row r="858" spans="4:4" ht="13.2">
      <c r="D858" s="9"/>
    </row>
    <row r="859" spans="4:4" ht="13.2">
      <c r="D859" s="9"/>
    </row>
    <row r="860" spans="4:4" ht="13.2">
      <c r="D860" s="9"/>
    </row>
    <row r="861" spans="4:4" ht="13.2">
      <c r="D861" s="9"/>
    </row>
    <row r="862" spans="4:4" ht="13.2">
      <c r="D862" s="9"/>
    </row>
    <row r="863" spans="4:4" ht="13.2">
      <c r="D863" s="9"/>
    </row>
    <row r="864" spans="4:4" ht="13.2">
      <c r="D864" s="9"/>
    </row>
    <row r="865" spans="4:4" ht="13.2">
      <c r="D865" s="9"/>
    </row>
    <row r="866" spans="4:4" ht="13.2">
      <c r="D866" s="9"/>
    </row>
    <row r="867" spans="4:4" ht="13.2">
      <c r="D867" s="9"/>
    </row>
    <row r="868" spans="4:4" ht="13.2">
      <c r="D868" s="9"/>
    </row>
    <row r="869" spans="4:4" ht="13.2">
      <c r="D869" s="9"/>
    </row>
    <row r="870" spans="4:4" ht="13.2">
      <c r="D870" s="9"/>
    </row>
    <row r="871" spans="4:4" ht="13.2">
      <c r="D871" s="9"/>
    </row>
    <row r="872" spans="4:4" ht="13.2">
      <c r="D872" s="9"/>
    </row>
    <row r="873" spans="4:4" ht="13.2">
      <c r="D873" s="9"/>
    </row>
    <row r="874" spans="4:4" ht="13.2">
      <c r="D874" s="9"/>
    </row>
    <row r="875" spans="4:4" ht="13.2">
      <c r="D875" s="9"/>
    </row>
    <row r="876" spans="4:4" ht="13.2">
      <c r="D876" s="9"/>
    </row>
    <row r="877" spans="4:4" ht="13.2">
      <c r="D877" s="9"/>
    </row>
    <row r="878" spans="4:4" ht="13.2">
      <c r="D878" s="9"/>
    </row>
    <row r="879" spans="4:4" ht="13.2">
      <c r="D879" s="9"/>
    </row>
    <row r="880" spans="4:4" ht="13.2">
      <c r="D880" s="9"/>
    </row>
    <row r="881" spans="4:4" ht="13.2">
      <c r="D881" s="9"/>
    </row>
    <row r="882" spans="4:4" ht="13.2">
      <c r="D882" s="9"/>
    </row>
    <row r="883" spans="4:4" ht="13.2">
      <c r="D883" s="9"/>
    </row>
    <row r="884" spans="4:4" ht="13.2">
      <c r="D884" s="9"/>
    </row>
    <row r="885" spans="4:4" ht="13.2">
      <c r="D885" s="9"/>
    </row>
    <row r="886" spans="4:4" ht="13.2">
      <c r="D886" s="9"/>
    </row>
    <row r="887" spans="4:4" ht="13.2">
      <c r="D887" s="9"/>
    </row>
    <row r="888" spans="4:4" ht="13.2">
      <c r="D888" s="9"/>
    </row>
    <row r="889" spans="4:4" ht="13.2">
      <c r="D889" s="9"/>
    </row>
    <row r="890" spans="4:4" ht="13.2">
      <c r="D890" s="9"/>
    </row>
    <row r="891" spans="4:4" ht="13.2">
      <c r="D891" s="9"/>
    </row>
    <row r="892" spans="4:4" ht="13.2">
      <c r="D892" s="9"/>
    </row>
    <row r="893" spans="4:4" ht="13.2">
      <c r="D893" s="9"/>
    </row>
    <row r="894" spans="4:4" ht="13.2">
      <c r="D894" s="9"/>
    </row>
    <row r="895" spans="4:4" ht="13.2">
      <c r="D895" s="9"/>
    </row>
    <row r="896" spans="4:4" ht="13.2">
      <c r="D896" s="9"/>
    </row>
    <row r="897" spans="4:4" ht="13.2">
      <c r="D897" s="9"/>
    </row>
    <row r="898" spans="4:4" ht="13.2">
      <c r="D898" s="9"/>
    </row>
    <row r="899" spans="4:4" ht="13.2">
      <c r="D899" s="9"/>
    </row>
    <row r="900" spans="4:4" ht="13.2">
      <c r="D900" s="9"/>
    </row>
    <row r="901" spans="4:4" ht="13.2">
      <c r="D901" s="9"/>
    </row>
    <row r="902" spans="4:4" ht="13.2">
      <c r="D902" s="9"/>
    </row>
    <row r="903" spans="4:4" ht="13.2">
      <c r="D903" s="9"/>
    </row>
    <row r="904" spans="4:4" ht="13.2">
      <c r="D904" s="9"/>
    </row>
    <row r="905" spans="4:4" ht="13.2">
      <c r="D905" s="9"/>
    </row>
    <row r="906" spans="4:4" ht="13.2">
      <c r="D906" s="9"/>
    </row>
    <row r="907" spans="4:4" ht="13.2">
      <c r="D907" s="9"/>
    </row>
    <row r="908" spans="4:4" ht="13.2">
      <c r="D908" s="9"/>
    </row>
    <row r="909" spans="4:4" ht="13.2">
      <c r="D909" s="9"/>
    </row>
    <row r="910" spans="4:4" ht="13.2">
      <c r="D910" s="9"/>
    </row>
    <row r="911" spans="4:4" ht="13.2">
      <c r="D911" s="9"/>
    </row>
    <row r="912" spans="4:4" ht="13.2">
      <c r="D912" s="9"/>
    </row>
    <row r="913" spans="4:4" ht="13.2">
      <c r="D913" s="9"/>
    </row>
    <row r="914" spans="4:4" ht="13.2">
      <c r="D914" s="9"/>
    </row>
    <row r="915" spans="4:4" ht="13.2">
      <c r="D915" s="9"/>
    </row>
    <row r="916" spans="4:4" ht="13.2">
      <c r="D916" s="9"/>
    </row>
    <row r="917" spans="4:4" ht="13.2">
      <c r="D917" s="9"/>
    </row>
    <row r="918" spans="4:4" ht="13.2">
      <c r="D918" s="9"/>
    </row>
    <row r="919" spans="4:4" ht="13.2">
      <c r="D919" s="9"/>
    </row>
    <row r="920" spans="4:4" ht="13.2">
      <c r="D920" s="9"/>
    </row>
    <row r="921" spans="4:4" ht="13.2">
      <c r="D921" s="9"/>
    </row>
    <row r="922" spans="4:4" ht="13.2">
      <c r="D922" s="9"/>
    </row>
    <row r="923" spans="4:4" ht="13.2">
      <c r="D923" s="9"/>
    </row>
    <row r="924" spans="4:4" ht="13.2">
      <c r="D924" s="9"/>
    </row>
    <row r="925" spans="4:4" ht="13.2">
      <c r="D925" s="9"/>
    </row>
    <row r="926" spans="4:4" ht="13.2">
      <c r="D926" s="9"/>
    </row>
    <row r="927" spans="4:4" ht="13.2">
      <c r="D927" s="9"/>
    </row>
    <row r="928" spans="4:4" ht="13.2">
      <c r="D928" s="9"/>
    </row>
    <row r="929" spans="4:4" ht="13.2">
      <c r="D929" s="9"/>
    </row>
    <row r="930" spans="4:4" ht="13.2">
      <c r="D930" s="9"/>
    </row>
    <row r="931" spans="4:4" ht="13.2">
      <c r="D931" s="9"/>
    </row>
    <row r="932" spans="4:4" ht="13.2">
      <c r="D932" s="9"/>
    </row>
    <row r="933" spans="4:4" ht="13.2">
      <c r="D933" s="9"/>
    </row>
    <row r="934" spans="4:4" ht="13.2">
      <c r="D934" s="9"/>
    </row>
    <row r="935" spans="4:4" ht="13.2">
      <c r="D935" s="9"/>
    </row>
    <row r="936" spans="4:4" ht="13.2">
      <c r="D936" s="9"/>
    </row>
    <row r="937" spans="4:4" ht="13.2">
      <c r="D937" s="9"/>
    </row>
    <row r="938" spans="4:4" ht="13.2">
      <c r="D938" s="9"/>
    </row>
    <row r="939" spans="4:4" ht="13.2">
      <c r="D939" s="9"/>
    </row>
    <row r="940" spans="4:4" ht="13.2">
      <c r="D940" s="9"/>
    </row>
    <row r="941" spans="4:4" ht="13.2">
      <c r="D941" s="9"/>
    </row>
    <row r="942" spans="4:4" ht="13.2">
      <c r="D942" s="9"/>
    </row>
    <row r="943" spans="4:4" ht="13.2">
      <c r="D943" s="9"/>
    </row>
    <row r="944" spans="4:4" ht="13.2">
      <c r="D944" s="9"/>
    </row>
    <row r="945" spans="4:4" ht="13.2">
      <c r="D945" s="9"/>
    </row>
    <row r="946" spans="4:4" ht="13.2">
      <c r="D946" s="9"/>
    </row>
    <row r="947" spans="4:4" ht="13.2">
      <c r="D947" s="9"/>
    </row>
    <row r="948" spans="4:4" ht="13.2">
      <c r="D948" s="9"/>
    </row>
    <row r="949" spans="4:4" ht="13.2">
      <c r="D949" s="9"/>
    </row>
    <row r="950" spans="4:4" ht="13.2">
      <c r="D950" s="9"/>
    </row>
    <row r="951" spans="4:4" ht="13.2">
      <c r="D951" s="9"/>
    </row>
    <row r="952" spans="4:4" ht="13.2">
      <c r="D952" s="9"/>
    </row>
    <row r="953" spans="4:4" ht="13.2">
      <c r="D953" s="9"/>
    </row>
    <row r="954" spans="4:4" ht="13.2">
      <c r="D954" s="9"/>
    </row>
    <row r="955" spans="4:4" ht="13.2">
      <c r="D955" s="9"/>
    </row>
    <row r="956" spans="4:4" ht="13.2">
      <c r="D956" s="9"/>
    </row>
    <row r="957" spans="4:4" ht="13.2">
      <c r="D957" s="9"/>
    </row>
    <row r="958" spans="4:4" ht="13.2">
      <c r="D958" s="9"/>
    </row>
    <row r="959" spans="4:4" ht="13.2">
      <c r="D959" s="9"/>
    </row>
  </sheetData>
  <mergeCells count="38">
    <mergeCell ref="B70:C70"/>
    <mergeCell ref="B50:C50"/>
    <mergeCell ref="B51:C51"/>
    <mergeCell ref="B52:C52"/>
    <mergeCell ref="B63:C63"/>
    <mergeCell ref="B64:C64"/>
    <mergeCell ref="B65:C65"/>
    <mergeCell ref="B66:C66"/>
    <mergeCell ref="B48:C48"/>
    <mergeCell ref="B49:C49"/>
    <mergeCell ref="B67:C67"/>
    <mergeCell ref="B68:C68"/>
    <mergeCell ref="B69:C69"/>
    <mergeCell ref="B35:C35"/>
    <mergeCell ref="B40:C40"/>
    <mergeCell ref="B45:C45"/>
    <mergeCell ref="B46:C46"/>
    <mergeCell ref="B47:C47"/>
    <mergeCell ref="B30:C30"/>
    <mergeCell ref="B31:C31"/>
    <mergeCell ref="B32:C32"/>
    <mergeCell ref="B33:C33"/>
    <mergeCell ref="B34:C34"/>
    <mergeCell ref="B25:C25"/>
    <mergeCell ref="B26:C26"/>
    <mergeCell ref="B27:C27"/>
    <mergeCell ref="B28:C28"/>
    <mergeCell ref="B29:C29"/>
    <mergeCell ref="B19:C19"/>
    <mergeCell ref="B20:C20"/>
    <mergeCell ref="B22:C22"/>
    <mergeCell ref="B23:C23"/>
    <mergeCell ref="B24:C24"/>
    <mergeCell ref="B7:C7"/>
    <mergeCell ref="B8:C8"/>
    <mergeCell ref="B9:C9"/>
    <mergeCell ref="B17:C17"/>
    <mergeCell ref="B18:C18"/>
  </mergeCells>
  <hyperlinks>
    <hyperlink ref="A2" r:id="rId1" xr:uid="{00000000-0004-0000-0000-000000000000}"/>
    <hyperlink ref="F2" r:id="rId2" xr:uid="{00000000-0004-0000-0000-000001000000}"/>
    <hyperlink ref="A3" r:id="rId3" xr:uid="{00000000-0004-0000-0000-000002000000}"/>
    <hyperlink ref="F3" r:id="rId4" xr:uid="{00000000-0004-0000-0000-000003000000}"/>
    <hyperlink ref="A4" r:id="rId5" xr:uid="{00000000-0004-0000-0000-000004000000}"/>
    <hyperlink ref="F4" r:id="rId6" xr:uid="{00000000-0004-0000-0000-000005000000}"/>
    <hyperlink ref="A5" r:id="rId7" xr:uid="{00000000-0004-0000-0000-000006000000}"/>
    <hyperlink ref="F5" r:id="rId8" xr:uid="{00000000-0004-0000-0000-000007000000}"/>
    <hyperlink ref="A6" r:id="rId9" xr:uid="{00000000-0004-0000-0000-000008000000}"/>
    <hyperlink ref="F6" r:id="rId10" xr:uid="{00000000-0004-0000-0000-000009000000}"/>
    <hyperlink ref="A7" r:id="rId11" xr:uid="{00000000-0004-0000-0000-00000A000000}"/>
    <hyperlink ref="F7" r:id="rId12" xr:uid="{00000000-0004-0000-0000-00000B000000}"/>
    <hyperlink ref="A8" r:id="rId13" xr:uid="{00000000-0004-0000-0000-00000C000000}"/>
    <hyperlink ref="F8" r:id="rId14" xr:uid="{00000000-0004-0000-0000-00000D000000}"/>
    <hyperlink ref="A9" r:id="rId15" xr:uid="{00000000-0004-0000-0000-00000E000000}"/>
    <hyperlink ref="F9" r:id="rId16" xr:uid="{00000000-0004-0000-0000-00000F000000}"/>
    <hyperlink ref="A10" r:id="rId17" xr:uid="{00000000-0004-0000-0000-000010000000}"/>
    <hyperlink ref="F10" r:id="rId18" xr:uid="{00000000-0004-0000-0000-000011000000}"/>
    <hyperlink ref="A11" r:id="rId19" xr:uid="{00000000-0004-0000-0000-000012000000}"/>
    <hyperlink ref="F11" r:id="rId20" xr:uid="{00000000-0004-0000-0000-000013000000}"/>
    <hyperlink ref="A12" r:id="rId21" xr:uid="{00000000-0004-0000-0000-000014000000}"/>
    <hyperlink ref="F12" r:id="rId22" xr:uid="{00000000-0004-0000-0000-000015000000}"/>
    <hyperlink ref="A13" r:id="rId23" xr:uid="{00000000-0004-0000-0000-000016000000}"/>
    <hyperlink ref="F13" r:id="rId24" xr:uid="{00000000-0004-0000-0000-000017000000}"/>
    <hyperlink ref="A14" r:id="rId25" xr:uid="{00000000-0004-0000-0000-000018000000}"/>
    <hyperlink ref="F14" r:id="rId26" xr:uid="{00000000-0004-0000-0000-000019000000}"/>
    <hyperlink ref="A15" r:id="rId27" xr:uid="{00000000-0004-0000-0000-00001A000000}"/>
    <hyperlink ref="F15" r:id="rId28" xr:uid="{00000000-0004-0000-0000-00001B000000}"/>
    <hyperlink ref="A16" r:id="rId29" xr:uid="{00000000-0004-0000-0000-00001C000000}"/>
    <hyperlink ref="F16" r:id="rId30" xr:uid="{00000000-0004-0000-0000-00001D000000}"/>
    <hyperlink ref="A17" r:id="rId31" xr:uid="{00000000-0004-0000-0000-00001E000000}"/>
    <hyperlink ref="F17" r:id="rId32" xr:uid="{00000000-0004-0000-0000-00001F000000}"/>
    <hyperlink ref="A18" r:id="rId33" xr:uid="{00000000-0004-0000-0000-000020000000}"/>
    <hyperlink ref="F18" r:id="rId34" xr:uid="{00000000-0004-0000-0000-000021000000}"/>
    <hyperlink ref="A19" r:id="rId35" xr:uid="{00000000-0004-0000-0000-000022000000}"/>
    <hyperlink ref="F19" r:id="rId36" xr:uid="{00000000-0004-0000-0000-000023000000}"/>
    <hyperlink ref="A20" r:id="rId37" xr:uid="{00000000-0004-0000-0000-000026000000}"/>
    <hyperlink ref="F20" r:id="rId38" xr:uid="{00000000-0004-0000-0000-000027000000}"/>
    <hyperlink ref="A21" r:id="rId39" xr:uid="{00000000-0004-0000-0000-000028000000}"/>
    <hyperlink ref="F21" r:id="rId40" xr:uid="{00000000-0004-0000-0000-000029000000}"/>
    <hyperlink ref="A22" r:id="rId41" xr:uid="{00000000-0004-0000-0000-00002A000000}"/>
    <hyperlink ref="F22" r:id="rId42" xr:uid="{00000000-0004-0000-0000-00002B000000}"/>
    <hyperlink ref="A23" r:id="rId43" xr:uid="{00000000-0004-0000-0000-00002C000000}"/>
    <hyperlink ref="F23" r:id="rId44" xr:uid="{00000000-0004-0000-0000-00002D000000}"/>
    <hyperlink ref="A24" r:id="rId45" xr:uid="{00000000-0004-0000-0000-00002E000000}"/>
    <hyperlink ref="F24" r:id="rId46" xr:uid="{00000000-0004-0000-0000-00002F000000}"/>
    <hyperlink ref="A25" r:id="rId47" xr:uid="{00000000-0004-0000-0000-000030000000}"/>
    <hyperlink ref="F25" r:id="rId48" xr:uid="{00000000-0004-0000-0000-000031000000}"/>
    <hyperlink ref="A26" r:id="rId49" xr:uid="{00000000-0004-0000-0000-000032000000}"/>
    <hyperlink ref="F26" r:id="rId50" xr:uid="{00000000-0004-0000-0000-000033000000}"/>
    <hyperlink ref="A27" r:id="rId51" xr:uid="{00000000-0004-0000-0000-000034000000}"/>
    <hyperlink ref="F27" r:id="rId52" xr:uid="{00000000-0004-0000-0000-000035000000}"/>
    <hyperlink ref="A28" r:id="rId53" xr:uid="{00000000-0004-0000-0000-000036000000}"/>
    <hyperlink ref="F28" r:id="rId54" xr:uid="{00000000-0004-0000-0000-000037000000}"/>
    <hyperlink ref="A29" r:id="rId55" xr:uid="{00000000-0004-0000-0000-000038000000}"/>
    <hyperlink ref="F29" r:id="rId56" xr:uid="{00000000-0004-0000-0000-000039000000}"/>
    <hyperlink ref="A30" r:id="rId57" xr:uid="{00000000-0004-0000-0000-00003A000000}"/>
    <hyperlink ref="F30" r:id="rId58" xr:uid="{00000000-0004-0000-0000-00003B000000}"/>
    <hyperlink ref="A31" r:id="rId59" xr:uid="{00000000-0004-0000-0000-00003C000000}"/>
    <hyperlink ref="F31" r:id="rId60" xr:uid="{00000000-0004-0000-0000-00003D000000}"/>
    <hyperlink ref="A32" r:id="rId61" xr:uid="{00000000-0004-0000-0000-00003E000000}"/>
    <hyperlink ref="F32" r:id="rId62" xr:uid="{00000000-0004-0000-0000-00003F000000}"/>
    <hyperlink ref="A33" r:id="rId63" xr:uid="{00000000-0004-0000-0000-000040000000}"/>
    <hyperlink ref="F33" r:id="rId64" location="!" xr:uid="{00000000-0004-0000-0000-000041000000}"/>
    <hyperlink ref="A34" r:id="rId65" xr:uid="{00000000-0004-0000-0000-000042000000}"/>
    <hyperlink ref="F34" r:id="rId66" xr:uid="{00000000-0004-0000-0000-000043000000}"/>
    <hyperlink ref="A35" r:id="rId67" xr:uid="{00000000-0004-0000-0000-000044000000}"/>
    <hyperlink ref="F35" r:id="rId68" xr:uid="{00000000-0004-0000-0000-000045000000}"/>
    <hyperlink ref="A36" r:id="rId69" xr:uid="{00000000-0004-0000-0000-000046000000}"/>
    <hyperlink ref="F36" r:id="rId70" xr:uid="{00000000-0004-0000-0000-000047000000}"/>
    <hyperlink ref="A37" r:id="rId71" xr:uid="{00000000-0004-0000-0000-000048000000}"/>
    <hyperlink ref="F37" r:id="rId72" xr:uid="{00000000-0004-0000-0000-000049000000}"/>
    <hyperlink ref="A38" r:id="rId73" xr:uid="{00000000-0004-0000-0000-00004A000000}"/>
    <hyperlink ref="F38" r:id="rId74" xr:uid="{00000000-0004-0000-0000-00004B000000}"/>
    <hyperlink ref="A39" r:id="rId75" xr:uid="{00000000-0004-0000-0000-00004C000000}"/>
    <hyperlink ref="F39" r:id="rId76" xr:uid="{00000000-0004-0000-0000-00004D000000}"/>
    <hyperlink ref="A40" r:id="rId77" xr:uid="{00000000-0004-0000-0000-00004E000000}"/>
    <hyperlink ref="F40" r:id="rId78" xr:uid="{00000000-0004-0000-0000-00004F000000}"/>
    <hyperlink ref="A41" r:id="rId79" xr:uid="{00000000-0004-0000-0000-000050000000}"/>
    <hyperlink ref="F41" r:id="rId80" xr:uid="{00000000-0004-0000-0000-000051000000}"/>
    <hyperlink ref="A42" r:id="rId81" xr:uid="{00000000-0004-0000-0000-000052000000}"/>
    <hyperlink ref="F42" r:id="rId82" xr:uid="{00000000-0004-0000-0000-000053000000}"/>
    <hyperlink ref="A43" r:id="rId83" xr:uid="{00000000-0004-0000-0000-000054000000}"/>
    <hyperlink ref="F43" r:id="rId84" xr:uid="{00000000-0004-0000-0000-000055000000}"/>
    <hyperlink ref="A44" r:id="rId85" xr:uid="{00000000-0004-0000-0000-000056000000}"/>
    <hyperlink ref="F44" r:id="rId86" xr:uid="{00000000-0004-0000-0000-000057000000}"/>
    <hyperlink ref="A45" r:id="rId87" xr:uid="{00000000-0004-0000-0000-000058000000}"/>
    <hyperlink ref="F45" r:id="rId88" xr:uid="{00000000-0004-0000-0000-000059000000}"/>
    <hyperlink ref="A46" r:id="rId89" xr:uid="{00000000-0004-0000-0000-00005A000000}"/>
    <hyperlink ref="F46" r:id="rId90" xr:uid="{00000000-0004-0000-0000-00005B000000}"/>
    <hyperlink ref="A47" r:id="rId91" xr:uid="{00000000-0004-0000-0000-00005C000000}"/>
    <hyperlink ref="F47" r:id="rId92" xr:uid="{00000000-0004-0000-0000-00005D000000}"/>
    <hyperlink ref="A48" r:id="rId93" xr:uid="{00000000-0004-0000-0000-00005E000000}"/>
    <hyperlink ref="F48" r:id="rId94" xr:uid="{00000000-0004-0000-0000-00005F000000}"/>
    <hyperlink ref="A49" r:id="rId95" xr:uid="{00000000-0004-0000-0000-000060000000}"/>
    <hyperlink ref="F49" r:id="rId96" xr:uid="{00000000-0004-0000-0000-000061000000}"/>
    <hyperlink ref="A50" r:id="rId97" xr:uid="{00000000-0004-0000-0000-000062000000}"/>
    <hyperlink ref="F50" r:id="rId98" xr:uid="{00000000-0004-0000-0000-000063000000}"/>
    <hyperlink ref="A51" r:id="rId99" xr:uid="{00000000-0004-0000-0000-000064000000}"/>
    <hyperlink ref="F51" r:id="rId100" xr:uid="{00000000-0004-0000-0000-000065000000}"/>
    <hyperlink ref="A52" r:id="rId101" xr:uid="{00000000-0004-0000-0000-000066000000}"/>
    <hyperlink ref="F52" r:id="rId102" xr:uid="{00000000-0004-0000-0000-000067000000}"/>
    <hyperlink ref="A53" r:id="rId103" xr:uid="{00000000-0004-0000-0000-000068000000}"/>
    <hyperlink ref="F53" r:id="rId104" xr:uid="{00000000-0004-0000-0000-000069000000}"/>
    <hyperlink ref="A54" r:id="rId105" xr:uid="{00000000-0004-0000-0000-00006A000000}"/>
    <hyperlink ref="F54" r:id="rId106" xr:uid="{00000000-0004-0000-0000-00006B000000}"/>
    <hyperlink ref="A55" r:id="rId107" xr:uid="{00000000-0004-0000-0000-00006C000000}"/>
    <hyperlink ref="F55" r:id="rId108" xr:uid="{00000000-0004-0000-0000-00006D000000}"/>
    <hyperlink ref="A56" r:id="rId109" xr:uid="{00000000-0004-0000-0000-00006E000000}"/>
    <hyperlink ref="F56" r:id="rId110" xr:uid="{00000000-0004-0000-0000-00006F000000}"/>
    <hyperlink ref="A57" r:id="rId111" xr:uid="{00000000-0004-0000-0000-000070000000}"/>
    <hyperlink ref="F57" r:id="rId112" xr:uid="{00000000-0004-0000-0000-000071000000}"/>
    <hyperlink ref="A58" r:id="rId113" xr:uid="{00000000-0004-0000-0000-000072000000}"/>
    <hyperlink ref="F58" r:id="rId114" xr:uid="{00000000-0004-0000-0000-000073000000}"/>
    <hyperlink ref="A59" r:id="rId115" xr:uid="{00000000-0004-0000-0000-000074000000}"/>
    <hyperlink ref="F59" r:id="rId116" xr:uid="{00000000-0004-0000-0000-000075000000}"/>
    <hyperlink ref="A60" r:id="rId117" xr:uid="{00000000-0004-0000-0000-000076000000}"/>
    <hyperlink ref="F60" r:id="rId118" xr:uid="{00000000-0004-0000-0000-000077000000}"/>
    <hyperlink ref="A61" r:id="rId119" xr:uid="{00000000-0004-0000-0000-000078000000}"/>
    <hyperlink ref="F61" r:id="rId120" xr:uid="{00000000-0004-0000-0000-000079000000}"/>
    <hyperlink ref="A62" r:id="rId121" xr:uid="{00000000-0004-0000-0000-00007A000000}"/>
    <hyperlink ref="F62" r:id="rId122" xr:uid="{00000000-0004-0000-0000-00007B000000}"/>
    <hyperlink ref="A63" r:id="rId123" xr:uid="{00000000-0004-0000-0000-00007C000000}"/>
    <hyperlink ref="F63" r:id="rId124" xr:uid="{00000000-0004-0000-0000-00007D000000}"/>
    <hyperlink ref="A64" r:id="rId125" xr:uid="{00000000-0004-0000-0000-00007E000000}"/>
    <hyperlink ref="F64" r:id="rId126" xr:uid="{00000000-0004-0000-0000-00007F000000}"/>
    <hyperlink ref="A65" r:id="rId127" xr:uid="{00000000-0004-0000-0000-000080000000}"/>
    <hyperlink ref="F65" r:id="rId128" xr:uid="{00000000-0004-0000-0000-000081000000}"/>
    <hyperlink ref="A66" r:id="rId129" xr:uid="{00000000-0004-0000-0000-000082000000}"/>
    <hyperlink ref="F66" r:id="rId130" xr:uid="{00000000-0004-0000-0000-000083000000}"/>
    <hyperlink ref="A67" r:id="rId131" xr:uid="{00000000-0004-0000-0000-000084000000}"/>
    <hyperlink ref="F67" r:id="rId132" xr:uid="{00000000-0004-0000-0000-000085000000}"/>
    <hyperlink ref="A68" r:id="rId133" xr:uid="{00000000-0004-0000-0000-000086000000}"/>
    <hyperlink ref="F68" r:id="rId134" xr:uid="{00000000-0004-0000-0000-000087000000}"/>
    <hyperlink ref="A69" r:id="rId135" xr:uid="{00000000-0004-0000-0000-000088000000}"/>
    <hyperlink ref="F69" r:id="rId136" xr:uid="{00000000-0004-0000-0000-000089000000}"/>
    <hyperlink ref="A70" r:id="rId137" xr:uid="{00000000-0004-0000-0000-00008A000000}"/>
    <hyperlink ref="F70" r:id="rId138" xr:uid="{00000000-0004-0000-0000-00008B000000}"/>
    <hyperlink ref="A71" r:id="rId139" xr:uid="{00000000-0004-0000-0000-0000A0000000}"/>
    <hyperlink ref="F71" r:id="rId140" xr:uid="{00000000-0004-0000-0000-0000A1000000}"/>
    <hyperlink ref="A72" r:id="rId141" xr:uid="{00000000-0004-0000-0000-0000A2000000}"/>
    <hyperlink ref="F72" r:id="rId142" xr:uid="{00000000-0004-0000-0000-0000A3000000}"/>
    <hyperlink ref="A73" r:id="rId143" xr:uid="{00000000-0004-0000-0000-0000A4000000}"/>
    <hyperlink ref="F73" r:id="rId144" xr:uid="{00000000-0004-0000-0000-0000A5000000}"/>
    <hyperlink ref="A74" r:id="rId145" xr:uid="{00000000-0004-0000-0000-0000A6000000}"/>
    <hyperlink ref="F74" r:id="rId146" xr:uid="{00000000-0004-0000-0000-0000A7000000}"/>
    <hyperlink ref="A75" r:id="rId147" xr:uid="{00000000-0004-0000-0000-0000A8000000}"/>
    <hyperlink ref="F75" r:id="rId148" xr:uid="{00000000-0004-0000-0000-0000A9000000}"/>
    <hyperlink ref="A76" r:id="rId149" xr:uid="{00000000-0004-0000-0000-0000AA000000}"/>
    <hyperlink ref="F76" r:id="rId150" xr:uid="{00000000-0004-0000-0000-0000AB000000}"/>
    <hyperlink ref="A77" r:id="rId151" xr:uid="{00000000-0004-0000-0000-0000AC000000}"/>
    <hyperlink ref="F77" r:id="rId152" xr:uid="{00000000-0004-0000-0000-0000AD000000}"/>
    <hyperlink ref="A78" r:id="rId153" xr:uid="{00000000-0004-0000-0000-0000AE000000}"/>
    <hyperlink ref="F78" r:id="rId154" xr:uid="{00000000-0004-0000-0000-0000AF000000}"/>
    <hyperlink ref="A79" r:id="rId155" xr:uid="{00000000-0004-0000-0000-0000B0000000}"/>
    <hyperlink ref="F79" r:id="rId156" xr:uid="{00000000-0004-0000-0000-0000B1000000}"/>
    <hyperlink ref="A80" r:id="rId157" xr:uid="{00000000-0004-0000-0000-0000B2000000}"/>
    <hyperlink ref="F80" r:id="rId158" xr:uid="{00000000-0004-0000-0000-0000B3000000}"/>
    <hyperlink ref="A81" r:id="rId159" xr:uid="{00000000-0004-0000-0000-0000B4000000}"/>
    <hyperlink ref="F81" r:id="rId160" xr:uid="{00000000-0004-0000-0000-0000B5000000}"/>
    <hyperlink ref="A82" r:id="rId161" xr:uid="{00000000-0004-0000-0000-0000B6000000}"/>
    <hyperlink ref="F82" r:id="rId162" xr:uid="{00000000-0004-0000-0000-0000B7000000}"/>
    <hyperlink ref="A83" r:id="rId163" xr:uid="{00000000-0004-0000-0000-0000B8000000}"/>
    <hyperlink ref="F83" r:id="rId164" xr:uid="{00000000-0004-0000-0000-0000B9000000}"/>
    <hyperlink ref="A84" r:id="rId165" xr:uid="{00000000-0004-0000-0000-0000BA000000}"/>
    <hyperlink ref="F84" r:id="rId166" xr:uid="{00000000-0004-0000-0000-0000BB000000}"/>
    <hyperlink ref="A85" r:id="rId167" xr:uid="{00000000-0004-0000-0000-0000BC000000}"/>
    <hyperlink ref="F85" r:id="rId168" xr:uid="{00000000-0004-0000-0000-0000BD000000}"/>
    <hyperlink ref="A86" r:id="rId169" xr:uid="{00000000-0004-0000-0000-0000BE000000}"/>
    <hyperlink ref="F86" r:id="rId170" xr:uid="{00000000-0004-0000-0000-0000BF000000}"/>
    <hyperlink ref="A87" r:id="rId171" xr:uid="{00000000-0004-0000-0000-0000C0000000}"/>
    <hyperlink ref="F87" r:id="rId172" xr:uid="{00000000-0004-0000-0000-0000C1000000}"/>
    <hyperlink ref="A88" r:id="rId173" xr:uid="{00000000-0004-0000-0000-0000C2000000}"/>
    <hyperlink ref="F88" r:id="rId174" xr:uid="{00000000-0004-0000-0000-0000C3000000}"/>
    <hyperlink ref="A89" r:id="rId175" xr:uid="{00000000-0004-0000-0000-0000C4000000}"/>
    <hyperlink ref="F89" r:id="rId176" xr:uid="{00000000-0004-0000-0000-0000C5000000}"/>
    <hyperlink ref="A90" r:id="rId177" xr:uid="{00000000-0004-0000-0000-0000C6000000}"/>
    <hyperlink ref="F90" r:id="rId178" xr:uid="{00000000-0004-0000-0000-0000C7000000}"/>
    <hyperlink ref="A91" r:id="rId179" xr:uid="{00000000-0004-0000-0000-0000C8000000}"/>
    <hyperlink ref="F91" r:id="rId180" xr:uid="{00000000-0004-0000-0000-0000C9000000}"/>
    <hyperlink ref="A92" r:id="rId181" xr:uid="{00000000-0004-0000-0000-0000CA000000}"/>
    <hyperlink ref="F92" r:id="rId182" xr:uid="{00000000-0004-0000-0000-0000C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Abhiram Gorle</dc:creator>
  <cp:lastModifiedBy>Abhiram Gorle</cp:lastModifiedBy>
  <dcterms:created xsi:type="dcterms:W3CDTF">2025-09-16T00:16:03Z</dcterms:created>
  <dcterms:modified xsi:type="dcterms:W3CDTF">2025-09-25T02:17:52Z</dcterms:modified>
</cp:coreProperties>
</file>